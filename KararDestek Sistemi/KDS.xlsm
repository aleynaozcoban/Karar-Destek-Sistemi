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namedSheetViews/namedSheetView1.xml" ContentType="application/vnd.ms-excel.namedsheetview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ctus\Desktop\"/>
    </mc:Choice>
  </mc:AlternateContent>
  <xr:revisionPtr revIDLastSave="0" documentId="13_ncr:1_{8A684E10-88D2-49D5-8AA8-00122783D9D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yfa1" sheetId="1" r:id="rId1"/>
    <sheet name="Sayf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6" i="1" l="1"/>
  <c r="D76" i="1"/>
  <c r="D75" i="1"/>
  <c r="C76" i="1"/>
  <c r="C75" i="1"/>
  <c r="C74" i="1"/>
  <c r="B76" i="1"/>
  <c r="B75" i="1"/>
  <c r="B74" i="1"/>
  <c r="B73" i="1"/>
  <c r="E68" i="1"/>
  <c r="D68" i="1"/>
  <c r="D67" i="1"/>
  <c r="C68" i="1"/>
  <c r="C67" i="1"/>
  <c r="C66" i="1"/>
  <c r="B68" i="1"/>
  <c r="B67" i="1"/>
  <c r="B66" i="1"/>
  <c r="B65" i="1"/>
  <c r="E60" i="1"/>
  <c r="D60" i="1"/>
  <c r="D59" i="1"/>
  <c r="C60" i="1"/>
  <c r="C59" i="1"/>
  <c r="C58" i="1"/>
  <c r="C51" i="1"/>
  <c r="C53" i="1" s="1"/>
  <c r="B60" i="1"/>
  <c r="B59" i="1"/>
  <c r="B58" i="1"/>
  <c r="B57" i="1"/>
  <c r="E44" i="1"/>
  <c r="E52" i="1"/>
  <c r="D52" i="1"/>
  <c r="D51" i="1"/>
  <c r="C52" i="1"/>
  <c r="C50" i="1"/>
  <c r="B50" i="1"/>
  <c r="B52" i="1"/>
  <c r="B51" i="1"/>
  <c r="B49" i="1"/>
  <c r="D44" i="1"/>
  <c r="D43" i="1"/>
  <c r="C44" i="1"/>
  <c r="C43" i="1"/>
  <c r="C42" i="1"/>
  <c r="B41" i="1"/>
  <c r="B44" i="1"/>
  <c r="B43" i="1"/>
  <c r="B42" i="1"/>
  <c r="B33" i="1"/>
  <c r="E36" i="1"/>
  <c r="D36" i="1"/>
  <c r="D35" i="1"/>
  <c r="C36" i="1"/>
  <c r="C35" i="1"/>
  <c r="C34" i="1"/>
  <c r="B36" i="1"/>
  <c r="B35" i="1"/>
  <c r="B34" i="1"/>
  <c r="B25" i="1"/>
  <c r="E28" i="1"/>
  <c r="D28" i="1"/>
  <c r="D27" i="1"/>
  <c r="C28" i="1"/>
  <c r="C27" i="1"/>
  <c r="C26" i="1"/>
  <c r="B28" i="1"/>
  <c r="B27" i="1"/>
  <c r="B26" i="1"/>
  <c r="L65" i="1" l="1"/>
  <c r="B93" i="1" l="1"/>
  <c r="C93" i="1"/>
  <c r="D93" i="1"/>
  <c r="E93" i="1"/>
  <c r="F93" i="1"/>
  <c r="G93" i="1"/>
  <c r="H93" i="1"/>
  <c r="B94" i="1"/>
  <c r="C94" i="1"/>
  <c r="D94" i="1"/>
  <c r="E94" i="1"/>
  <c r="F94" i="1"/>
  <c r="G94" i="1"/>
  <c r="H94" i="1"/>
  <c r="C95" i="1"/>
  <c r="D95" i="1"/>
  <c r="E95" i="1"/>
  <c r="F95" i="1"/>
  <c r="G95" i="1"/>
  <c r="H95" i="1"/>
  <c r="D96" i="1"/>
  <c r="E96" i="1"/>
  <c r="F96" i="1"/>
  <c r="G96" i="1"/>
  <c r="H96" i="1"/>
  <c r="E97" i="1"/>
  <c r="F97" i="1"/>
  <c r="G97" i="1"/>
  <c r="H97" i="1"/>
  <c r="F98" i="1"/>
  <c r="G98" i="1"/>
  <c r="H98" i="1"/>
  <c r="G99" i="1"/>
  <c r="H99" i="1"/>
  <c r="H100" i="1"/>
  <c r="A94" i="1"/>
  <c r="A95" i="1"/>
  <c r="A96" i="1"/>
  <c r="A97" i="1"/>
  <c r="A98" i="1"/>
  <c r="A99" i="1"/>
  <c r="A100" i="1"/>
  <c r="A101" i="1"/>
  <c r="A93" i="1"/>
  <c r="G9" i="1" l="1"/>
  <c r="G100" i="1" s="1"/>
  <c r="F9" i="1"/>
  <c r="F100" i="1" s="1"/>
  <c r="F8" i="1"/>
  <c r="F99" i="1" s="1"/>
  <c r="E9" i="1"/>
  <c r="E100" i="1" s="1"/>
  <c r="E8" i="1"/>
  <c r="E99" i="1" s="1"/>
  <c r="E7" i="1"/>
  <c r="E98" i="1" s="1"/>
  <c r="D9" i="1"/>
  <c r="D100" i="1" s="1"/>
  <c r="D8" i="1"/>
  <c r="D99" i="1" s="1"/>
  <c r="D7" i="1"/>
  <c r="D98" i="1" s="1"/>
  <c r="D6" i="1"/>
  <c r="D97" i="1" s="1"/>
  <c r="C9" i="1"/>
  <c r="C100" i="1" s="1"/>
  <c r="C8" i="1"/>
  <c r="C99" i="1" s="1"/>
  <c r="C7" i="1"/>
  <c r="C98" i="1" s="1"/>
  <c r="C6" i="1"/>
  <c r="C97" i="1" s="1"/>
  <c r="C5" i="1"/>
  <c r="C96" i="1" s="1"/>
  <c r="B9" i="1"/>
  <c r="B100" i="1" s="1"/>
  <c r="B8" i="1"/>
  <c r="B99" i="1" s="1"/>
  <c r="B7" i="1"/>
  <c r="B98" i="1" s="1"/>
  <c r="B6" i="1"/>
  <c r="B97" i="1" s="1"/>
  <c r="B5" i="1"/>
  <c r="B96" i="1" s="1"/>
  <c r="B4" i="1"/>
  <c r="B95" i="1" s="1"/>
  <c r="F77" i="1"/>
  <c r="E77" i="1"/>
  <c r="D77" i="1"/>
  <c r="C77" i="1"/>
  <c r="B77" i="1"/>
  <c r="L76" i="1"/>
  <c r="K76" i="1"/>
  <c r="J76" i="1"/>
  <c r="I76" i="1"/>
  <c r="H76" i="1"/>
  <c r="L75" i="1"/>
  <c r="K75" i="1"/>
  <c r="J75" i="1"/>
  <c r="I75" i="1"/>
  <c r="H75" i="1"/>
  <c r="L74" i="1"/>
  <c r="K74" i="1"/>
  <c r="J74" i="1"/>
  <c r="I74" i="1"/>
  <c r="H74" i="1"/>
  <c r="L73" i="1"/>
  <c r="K73" i="1"/>
  <c r="J73" i="1"/>
  <c r="I73" i="1"/>
  <c r="H73" i="1"/>
  <c r="L72" i="1"/>
  <c r="K72" i="1"/>
  <c r="J72" i="1"/>
  <c r="I72" i="1"/>
  <c r="H72" i="1"/>
  <c r="F69" i="1"/>
  <c r="E69" i="1"/>
  <c r="D69" i="1"/>
  <c r="C69" i="1"/>
  <c r="B69" i="1"/>
  <c r="L68" i="1"/>
  <c r="K68" i="1"/>
  <c r="J68" i="1"/>
  <c r="I68" i="1"/>
  <c r="H68" i="1"/>
  <c r="L67" i="1"/>
  <c r="K67" i="1"/>
  <c r="J67" i="1"/>
  <c r="I67" i="1"/>
  <c r="H67" i="1"/>
  <c r="L66" i="1"/>
  <c r="K66" i="1"/>
  <c r="J66" i="1"/>
  <c r="I66" i="1"/>
  <c r="H66" i="1"/>
  <c r="K65" i="1"/>
  <c r="J65" i="1"/>
  <c r="I65" i="1"/>
  <c r="H65" i="1"/>
  <c r="L64" i="1"/>
  <c r="K64" i="1"/>
  <c r="J64" i="1"/>
  <c r="I64" i="1"/>
  <c r="H64" i="1"/>
  <c r="F61" i="1"/>
  <c r="E61" i="1"/>
  <c r="D61" i="1"/>
  <c r="C61" i="1"/>
  <c r="B61" i="1"/>
  <c r="L60" i="1"/>
  <c r="K60" i="1"/>
  <c r="J60" i="1"/>
  <c r="I60" i="1"/>
  <c r="H60" i="1"/>
  <c r="L59" i="1"/>
  <c r="K59" i="1"/>
  <c r="J59" i="1"/>
  <c r="I59" i="1"/>
  <c r="H59" i="1"/>
  <c r="L58" i="1"/>
  <c r="K58" i="1"/>
  <c r="J58" i="1"/>
  <c r="I58" i="1"/>
  <c r="H58" i="1"/>
  <c r="L57" i="1"/>
  <c r="K57" i="1"/>
  <c r="J57" i="1"/>
  <c r="I57" i="1"/>
  <c r="H57" i="1"/>
  <c r="L56" i="1"/>
  <c r="K56" i="1"/>
  <c r="J56" i="1"/>
  <c r="I56" i="1"/>
  <c r="H56" i="1"/>
  <c r="F53" i="1"/>
  <c r="E53" i="1"/>
  <c r="D53" i="1"/>
  <c r="B53" i="1"/>
  <c r="L52" i="1"/>
  <c r="K52" i="1"/>
  <c r="J52" i="1"/>
  <c r="I52" i="1"/>
  <c r="H52" i="1"/>
  <c r="L51" i="1"/>
  <c r="K51" i="1"/>
  <c r="J51" i="1"/>
  <c r="I51" i="1"/>
  <c r="H51" i="1"/>
  <c r="L50" i="1"/>
  <c r="K50" i="1"/>
  <c r="J50" i="1"/>
  <c r="I50" i="1"/>
  <c r="H50" i="1"/>
  <c r="L49" i="1"/>
  <c r="K49" i="1"/>
  <c r="J49" i="1"/>
  <c r="I49" i="1"/>
  <c r="H49" i="1"/>
  <c r="L48" i="1"/>
  <c r="K48" i="1"/>
  <c r="J48" i="1"/>
  <c r="I48" i="1"/>
  <c r="H48" i="1"/>
  <c r="F45" i="1"/>
  <c r="E45" i="1"/>
  <c r="D45" i="1"/>
  <c r="C45" i="1"/>
  <c r="B45" i="1"/>
  <c r="L44" i="1"/>
  <c r="K44" i="1"/>
  <c r="J44" i="1"/>
  <c r="I44" i="1"/>
  <c r="H44" i="1"/>
  <c r="L43" i="1"/>
  <c r="K43" i="1"/>
  <c r="J43" i="1"/>
  <c r="I43" i="1"/>
  <c r="H43" i="1"/>
  <c r="L42" i="1"/>
  <c r="K42" i="1"/>
  <c r="J42" i="1"/>
  <c r="I42" i="1"/>
  <c r="H42" i="1"/>
  <c r="L41" i="1"/>
  <c r="K41" i="1"/>
  <c r="J41" i="1"/>
  <c r="I41" i="1"/>
  <c r="H41" i="1"/>
  <c r="L40" i="1"/>
  <c r="K40" i="1"/>
  <c r="J40" i="1"/>
  <c r="I40" i="1"/>
  <c r="H40" i="1"/>
  <c r="F37" i="1"/>
  <c r="E37" i="1"/>
  <c r="D37" i="1"/>
  <c r="C37" i="1"/>
  <c r="B37" i="1"/>
  <c r="L36" i="1"/>
  <c r="K36" i="1"/>
  <c r="J36" i="1"/>
  <c r="I36" i="1"/>
  <c r="H36" i="1"/>
  <c r="L35" i="1"/>
  <c r="K35" i="1"/>
  <c r="J35" i="1"/>
  <c r="I35" i="1"/>
  <c r="H35" i="1"/>
  <c r="L34" i="1"/>
  <c r="K34" i="1"/>
  <c r="J34" i="1"/>
  <c r="I34" i="1"/>
  <c r="H34" i="1"/>
  <c r="L33" i="1"/>
  <c r="K33" i="1"/>
  <c r="J33" i="1"/>
  <c r="I33" i="1"/>
  <c r="H33" i="1"/>
  <c r="L32" i="1"/>
  <c r="K32" i="1"/>
  <c r="J32" i="1"/>
  <c r="I32" i="1"/>
  <c r="H32" i="1"/>
  <c r="E29" i="1"/>
  <c r="C29" i="1"/>
  <c r="L28" i="1"/>
  <c r="K28" i="1"/>
  <c r="J28" i="1"/>
  <c r="I28" i="1"/>
  <c r="H28" i="1"/>
  <c r="L27" i="1"/>
  <c r="K27" i="1"/>
  <c r="J27" i="1"/>
  <c r="I27" i="1"/>
  <c r="H27" i="1"/>
  <c r="L26" i="1"/>
  <c r="K26" i="1"/>
  <c r="J26" i="1"/>
  <c r="I26" i="1"/>
  <c r="H26" i="1"/>
  <c r="L25" i="1"/>
  <c r="K25" i="1"/>
  <c r="J25" i="1"/>
  <c r="I25" i="1"/>
  <c r="H25" i="1"/>
  <c r="L24" i="1"/>
  <c r="K24" i="1"/>
  <c r="J24" i="1"/>
  <c r="I24" i="1"/>
  <c r="H24" i="1"/>
  <c r="K45" i="1" l="1"/>
  <c r="L45" i="1"/>
  <c r="N25" i="1"/>
  <c r="B83" i="1" s="1"/>
  <c r="N34" i="1"/>
  <c r="C84" i="1" s="1"/>
  <c r="N44" i="1"/>
  <c r="D86" i="1" s="1"/>
  <c r="N41" i="1"/>
  <c r="D83" i="1" s="1"/>
  <c r="N27" i="1"/>
  <c r="B85" i="1" s="1"/>
  <c r="N56" i="1"/>
  <c r="F82" i="1" s="1"/>
  <c r="N36" i="1"/>
  <c r="C86" i="1" s="1"/>
  <c r="N72" i="1"/>
  <c r="H82" i="1" s="1"/>
  <c r="N75" i="1"/>
  <c r="H85" i="1" s="1"/>
  <c r="L77" i="1"/>
  <c r="N50" i="1"/>
  <c r="E84" i="1" s="1"/>
  <c r="N57" i="1"/>
  <c r="F83" i="1" s="1"/>
  <c r="N58" i="1"/>
  <c r="F84" i="1" s="1"/>
  <c r="N42" i="1"/>
  <c r="D84" i="1" s="1"/>
  <c r="N74" i="1"/>
  <c r="H84" i="1" s="1"/>
  <c r="N67" i="1"/>
  <c r="G85" i="1" s="1"/>
  <c r="I45" i="1"/>
  <c r="N52" i="1"/>
  <c r="E86" i="1" s="1"/>
  <c r="H61" i="1"/>
  <c r="K61" i="1"/>
  <c r="N59" i="1"/>
  <c r="F85" i="1" s="1"/>
  <c r="K77" i="1"/>
  <c r="N60" i="1"/>
  <c r="F86" i="1" s="1"/>
  <c r="N51" i="1"/>
  <c r="E85" i="1" s="1"/>
  <c r="J69" i="1"/>
  <c r="J77" i="1"/>
  <c r="N33" i="1"/>
  <c r="C83" i="1" s="1"/>
  <c r="H45" i="1"/>
  <c r="N66" i="1"/>
  <c r="G84" i="1" s="1"/>
  <c r="J61" i="1"/>
  <c r="K69" i="1"/>
  <c r="N76" i="1"/>
  <c r="H86" i="1" s="1"/>
  <c r="K37" i="1"/>
  <c r="H29" i="1"/>
  <c r="N24" i="1"/>
  <c r="B82" i="1" s="1"/>
  <c r="J37" i="1"/>
  <c r="N40" i="1"/>
  <c r="D82" i="1" s="1"/>
  <c r="K29" i="1"/>
  <c r="N26" i="1"/>
  <c r="B84" i="1" s="1"/>
  <c r="N43" i="1"/>
  <c r="D85" i="1" s="1"/>
  <c r="L53" i="1"/>
  <c r="L69" i="1"/>
  <c r="N68" i="1"/>
  <c r="G86" i="1" s="1"/>
  <c r="N73" i="1"/>
  <c r="H83" i="1" s="1"/>
  <c r="N28" i="1"/>
  <c r="B86" i="1" s="1"/>
  <c r="L37" i="1"/>
  <c r="H53" i="1"/>
  <c r="H69" i="1"/>
  <c r="I29" i="1"/>
  <c r="I37" i="1"/>
  <c r="N32" i="1"/>
  <c r="C82" i="1" s="1"/>
  <c r="I53" i="1"/>
  <c r="L29" i="1"/>
  <c r="N35" i="1"/>
  <c r="C85" i="1" s="1"/>
  <c r="J45" i="1"/>
  <c r="J53" i="1"/>
  <c r="K53" i="1"/>
  <c r="L61" i="1"/>
  <c r="H77" i="1"/>
  <c r="J29" i="1"/>
  <c r="N48" i="1"/>
  <c r="I61" i="1"/>
  <c r="N65" i="1"/>
  <c r="G83" i="1" s="1"/>
  <c r="I69" i="1"/>
  <c r="I77" i="1"/>
  <c r="N64" i="1"/>
  <c r="H37" i="1"/>
  <c r="N49" i="1"/>
  <c r="E83" i="1" s="1"/>
  <c r="N61" i="1" l="1"/>
  <c r="N77" i="1"/>
  <c r="N45" i="1"/>
  <c r="N29" i="1"/>
  <c r="N37" i="1"/>
  <c r="G82" i="1"/>
  <c r="N69" i="1"/>
  <c r="E82" i="1"/>
  <c r="N53" i="1"/>
  <c r="F10" i="1" l="1"/>
  <c r="F101" i="1" s="1"/>
  <c r="D10" i="1"/>
  <c r="H10" i="1"/>
  <c r="H101" i="1" s="1"/>
  <c r="E10" i="1"/>
  <c r="C10" i="1"/>
  <c r="G10" i="1"/>
  <c r="B10" i="1"/>
  <c r="B101" i="1" s="1"/>
  <c r="G18" i="1" l="1"/>
  <c r="G101" i="1"/>
  <c r="E15" i="1"/>
  <c r="E101" i="1"/>
  <c r="D18" i="1"/>
  <c r="D101" i="1"/>
  <c r="C16" i="1"/>
  <c r="C101" i="1"/>
  <c r="E13" i="1"/>
  <c r="D13" i="1"/>
  <c r="H18" i="1"/>
  <c r="C17" i="1"/>
  <c r="B13" i="1"/>
  <c r="C19" i="1"/>
  <c r="C18" i="1"/>
  <c r="F15" i="1"/>
  <c r="F19" i="1"/>
  <c r="G19" i="1"/>
  <c r="B16" i="1"/>
  <c r="H14" i="1"/>
  <c r="G16" i="1"/>
  <c r="B15" i="1"/>
  <c r="B14" i="1"/>
  <c r="H13" i="1"/>
  <c r="H15" i="1"/>
  <c r="G14" i="1"/>
  <c r="D15" i="1"/>
  <c r="H17" i="1"/>
  <c r="B19" i="1"/>
  <c r="B18" i="1"/>
  <c r="H19" i="1"/>
  <c r="C13" i="1"/>
  <c r="F13" i="1"/>
  <c r="H16" i="1"/>
  <c r="F16" i="1"/>
  <c r="G15" i="1"/>
  <c r="E19" i="1"/>
  <c r="E18" i="1"/>
  <c r="E16" i="1"/>
  <c r="E17" i="1"/>
  <c r="E14" i="1"/>
  <c r="G13" i="1"/>
  <c r="B17" i="1"/>
  <c r="G17" i="1"/>
  <c r="F17" i="1"/>
  <c r="C14" i="1"/>
  <c r="C15" i="1"/>
  <c r="D16" i="1"/>
  <c r="D17" i="1"/>
  <c r="D19" i="1"/>
  <c r="F14" i="1"/>
  <c r="D14" i="1"/>
  <c r="F18" i="1"/>
  <c r="B20" i="1" l="1"/>
  <c r="I16" i="1"/>
  <c r="I15" i="1"/>
  <c r="I18" i="1"/>
  <c r="H20" i="1"/>
  <c r="E20" i="1"/>
  <c r="D20" i="1"/>
  <c r="I19" i="1" s="1"/>
  <c r="F20" i="1"/>
  <c r="I17" i="1"/>
  <c r="G20" i="1"/>
  <c r="I14" i="1"/>
  <c r="C20" i="1"/>
  <c r="I13" i="1"/>
  <c r="I20" i="1" l="1"/>
  <c r="J16" i="1" s="1"/>
  <c r="J17" i="1" l="1"/>
  <c r="K98" i="1" s="1"/>
  <c r="J15" i="1"/>
  <c r="K96" i="1" s="1"/>
  <c r="J14" i="1"/>
  <c r="S83" i="1" s="1"/>
  <c r="J18" i="1"/>
  <c r="K18" i="1" s="1"/>
  <c r="J13" i="1"/>
  <c r="J19" i="1"/>
  <c r="S88" i="1" s="1"/>
  <c r="K16" i="1"/>
  <c r="S85" i="1"/>
  <c r="K97" i="1"/>
  <c r="K17" i="1" l="1"/>
  <c r="S86" i="1"/>
  <c r="K14" i="1"/>
  <c r="K95" i="1"/>
  <c r="K100" i="1"/>
  <c r="M100" i="1" s="1"/>
  <c r="O100" i="1" s="1"/>
  <c r="K19" i="1"/>
  <c r="K15" i="1"/>
  <c r="S84" i="1"/>
  <c r="K99" i="1"/>
  <c r="I83" i="1"/>
  <c r="K94" i="1"/>
  <c r="I84" i="1"/>
  <c r="I86" i="1"/>
  <c r="K13" i="1"/>
  <c r="S82" i="1"/>
  <c r="S87" i="1"/>
  <c r="J20" i="1"/>
  <c r="L86" i="1" s="1"/>
  <c r="L82" i="1"/>
  <c r="I82" i="1"/>
  <c r="I85" i="1"/>
  <c r="M96" i="1" l="1"/>
  <c r="O96" i="1" s="1"/>
  <c r="M99" i="1"/>
  <c r="O99" i="1" s="1"/>
  <c r="K20" i="1"/>
  <c r="M97" i="1"/>
  <c r="O97" i="1" s="1"/>
  <c r="M98" i="1"/>
  <c r="O98" i="1" s="1"/>
  <c r="M94" i="1"/>
  <c r="O94" i="1" s="1"/>
  <c r="M95" i="1"/>
  <c r="O95" i="1" s="1"/>
  <c r="L84" i="1"/>
  <c r="L85" i="1"/>
  <c r="L83" i="1"/>
  <c r="O84" i="1" l="1"/>
  <c r="O85" i="1" s="1"/>
  <c r="R93" i="1"/>
  <c r="R95" i="1" s="1"/>
  <c r="R98" i="1" s="1"/>
  <c r="R101" i="1" s="1"/>
</calcChain>
</file>

<file path=xl/sharedStrings.xml><?xml version="1.0" encoding="utf-8"?>
<sst xmlns="http://schemas.openxmlformats.org/spreadsheetml/2006/main" count="165" uniqueCount="46">
  <si>
    <t>KRİTERLER</t>
  </si>
  <si>
    <t>K1</t>
  </si>
  <si>
    <t>K2</t>
  </si>
  <si>
    <t>K3</t>
  </si>
  <si>
    <t>K4</t>
  </si>
  <si>
    <t>K5</t>
  </si>
  <si>
    <t>K6</t>
  </si>
  <si>
    <t>K7</t>
  </si>
  <si>
    <t>KARŞILAŞTIRMA MATRİSİ</t>
  </si>
  <si>
    <t>(K1) Eğitim Düzeyi</t>
  </si>
  <si>
    <t>(K2) İş Deneyimi</t>
  </si>
  <si>
    <t>(K3) İletişim Becerileri</t>
  </si>
  <si>
    <t>(K4) Yetenek ve Bilgi</t>
  </si>
  <si>
    <t>(K5) Referanslar</t>
  </si>
  <si>
    <t>(K6) Ekip Çalışması</t>
  </si>
  <si>
    <t>(K7) Problem Çözme Ytn.</t>
  </si>
  <si>
    <t>TOPLAM</t>
  </si>
  <si>
    <t>NORMALİZE MATRİS</t>
  </si>
  <si>
    <t>AĞIRLIK</t>
  </si>
  <si>
    <t>%</t>
  </si>
  <si>
    <t>KRİTERLERİN KARŞILAŞTIRMASI</t>
  </si>
  <si>
    <t>Eğitim Düzeyi Kriteri</t>
  </si>
  <si>
    <t>1.KİŞİ</t>
  </si>
  <si>
    <t>2.KİŞİ</t>
  </si>
  <si>
    <t>3.KİŞİ</t>
  </si>
  <si>
    <t>4.KİŞİ</t>
  </si>
  <si>
    <t>5.KİŞİ</t>
  </si>
  <si>
    <t>Sütun Normalizasyonu</t>
  </si>
  <si>
    <t>Ortalama</t>
  </si>
  <si>
    <t>İş Deneyimi Kriteri</t>
  </si>
  <si>
    <t>İletişim Becerileri Kriteri</t>
  </si>
  <si>
    <t>Yetenek ve Bilgi Kriteri</t>
  </si>
  <si>
    <t>Referanslar Kriteri</t>
  </si>
  <si>
    <t>Ekip Çalışması Kriteri</t>
  </si>
  <si>
    <t>Problem Çözme Yeteneği</t>
  </si>
  <si>
    <t>KRİTER SONUÇ</t>
  </si>
  <si>
    <t>TUTARLILIK HESAPLAMA</t>
  </si>
  <si>
    <t>A=</t>
  </si>
  <si>
    <t>W=</t>
  </si>
  <si>
    <t>A*W=</t>
  </si>
  <si>
    <t>(A*W)/W=</t>
  </si>
  <si>
    <t>(MAX-N)/(N-1)</t>
  </si>
  <si>
    <t>7 ADET BÖLÜYORUZ</t>
  </si>
  <si>
    <t>7 ADET =1.32</t>
  </si>
  <si>
    <t>En İyi Değer</t>
  </si>
  <si>
    <t>SEÇENEKLER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</si>
</sst>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scheme val="minor"/>
    </font>
    <font>
      <sz val="11"/>
      <color rgb="FF000000"/>
      <name val="Calibri"/>
      <family val="2"/>
      <scheme val="minor"/>
    </font>
    <font>
      <sz val="11"/>
      <name val="Arial Black"/>
      <family val="2"/>
    </font>
    <font>
      <b/>
      <sz val="14"/>
      <color rgb="FF000000"/>
      <name val="Calibri"/>
      <scheme val="minor"/>
    </font>
    <font>
      <sz val="11"/>
      <color theme="1"/>
      <name val="Arial Black"/>
    </font>
    <font>
      <b/>
      <sz val="11"/>
      <color theme="1"/>
      <name val="Calibri"/>
      <family val="2"/>
      <charset val="162"/>
      <scheme val="minor"/>
    </font>
    <font>
      <b/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theme="4" tint="0.39997558519241921"/>
      </right>
      <top style="thin">
        <color theme="4" tint="0.39997558519241921"/>
      </top>
      <bottom style="thin">
        <color indexed="64"/>
      </bottom>
      <diagonal/>
    </border>
    <border>
      <left style="thin">
        <color rgb="FF000000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2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15" borderId="1" xfId="0" applyNumberFormat="1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15" borderId="2" xfId="0" applyNumberForma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8" fillId="13" borderId="10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2" fontId="0" fillId="0" borderId="2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2" fontId="0" fillId="0" borderId="5" xfId="0" applyNumberFormat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2" fontId="1" fillId="2" borderId="5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2" fontId="0" fillId="6" borderId="2" xfId="0" applyNumberFormat="1" applyFill="1" applyBorder="1" applyAlignment="1">
      <alignment horizontal="center" vertical="center"/>
    </xf>
    <xf numFmtId="12" fontId="0" fillId="0" borderId="7" xfId="0" applyNumberForma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9" borderId="2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12" fontId="4" fillId="6" borderId="1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2" fontId="0" fillId="9" borderId="4" xfId="0" applyNumberFormat="1" applyFill="1" applyBorder="1" applyAlignment="1">
      <alignment horizontal="center" vertical="center"/>
    </xf>
    <xf numFmtId="2" fontId="0" fillId="9" borderId="3" xfId="0" applyNumberForma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5" fillId="14" borderId="0" xfId="0" applyFont="1" applyFill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5B"/>
      <color rgb="FFFFFF7D"/>
      <color rgb="FFF8D6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Sayfa1!$A$14:$A$20</c:f>
              <c:strCache>
                <c:ptCount val="7"/>
                <c:pt idx="0">
                  <c:v>(K2) İş Deneyimi</c:v>
                </c:pt>
                <c:pt idx="1">
                  <c:v>(K3) İletişim Becerileri</c:v>
                </c:pt>
                <c:pt idx="2">
                  <c:v>(K4) Yetenek ve Bilgi</c:v>
                </c:pt>
                <c:pt idx="3">
                  <c:v>(K5) Referanslar</c:v>
                </c:pt>
                <c:pt idx="4">
                  <c:v>(K6) Ekip Çalışması</c:v>
                </c:pt>
                <c:pt idx="5">
                  <c:v>(K7) Problem Çözme Ytn.</c:v>
                </c:pt>
                <c:pt idx="6">
                  <c:v>TOPLAM</c:v>
                </c:pt>
              </c:strCache>
            </c:strRef>
          </c:cat>
          <c:val>
            <c:numRef>
              <c:f>Sayfa1!$J$14:$J$20</c:f>
              <c:numCache>
                <c:formatCode>0.00</c:formatCode>
                <c:ptCount val="7"/>
                <c:pt idx="0">
                  <c:v>0.18150852319501595</c:v>
                </c:pt>
                <c:pt idx="1">
                  <c:v>0.16620240074603634</c:v>
                </c:pt>
                <c:pt idx="2">
                  <c:v>0.12190146226181127</c:v>
                </c:pt>
                <c:pt idx="3">
                  <c:v>0.12633293958275518</c:v>
                </c:pt>
                <c:pt idx="4">
                  <c:v>0.11128938755794898</c:v>
                </c:pt>
                <c:pt idx="5">
                  <c:v>7.2240299157276047E-2</c:v>
                </c:pt>
                <c:pt idx="6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FE-46AE-B6B5-A96A2355E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192992"/>
        <c:axId val="1625192448"/>
      </c:lineChart>
      <c:catAx>
        <c:axId val="162519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625192448"/>
        <c:crosses val="autoZero"/>
        <c:auto val="1"/>
        <c:lblAlgn val="ctr"/>
        <c:lblOffset val="100"/>
        <c:noMultiLvlLbl val="0"/>
      </c:catAx>
      <c:valAx>
        <c:axId val="162519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62519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Sayfa1!#REF!</c:f>
              <c:numCache>
                <c:formatCode>General</c:formatCode>
                <c:ptCount val="5"/>
                <c:pt idx="0">
                  <c:v>0.22776492701829693</c:v>
                </c:pt>
                <c:pt idx="1">
                  <c:v>0.19221353513838207</c:v>
                </c:pt>
                <c:pt idx="2">
                  <c:v>0.19362774538194613</c:v>
                </c:pt>
                <c:pt idx="3">
                  <c:v>0.22366680995602861</c:v>
                </c:pt>
                <c:pt idx="4">
                  <c:v>0.16272698250534617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Sayfa1!#REF!</c15:sqref>
                        </c15:formulaRef>
                      </c:ext>
                    </c:extLst>
                    <c:strCache>
                      <c:ptCount val="5"/>
                      <c:pt idx="0">
                        <c:v>1.KİŞİ</c:v>
                      </c:pt>
                      <c:pt idx="1">
                        <c:v>2.KİŞİ</c:v>
                      </c:pt>
                      <c:pt idx="2">
                        <c:v>3.KİŞİ</c:v>
                      </c:pt>
                      <c:pt idx="3">
                        <c:v>4.KİŞİ</c:v>
                      </c:pt>
                      <c:pt idx="4">
                        <c:v>5.KİŞİ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373-4087-8435-6C82481B6D8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Sayfa1!#REF!</c:f>
              <c:numCache>
                <c:formatCode>General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Sayfa1!#REF!</c15:sqref>
                        </c15:formulaRef>
                      </c:ext>
                    </c:extLst>
                    <c:strCache>
                      <c:ptCount val="5"/>
                      <c:pt idx="0">
                        <c:v>1.KİŞİ</c:v>
                      </c:pt>
                      <c:pt idx="1">
                        <c:v>2.KİŞİ</c:v>
                      </c:pt>
                      <c:pt idx="2">
                        <c:v>3.KİŞİ</c:v>
                      </c:pt>
                      <c:pt idx="3">
                        <c:v>4.KİŞİ</c:v>
                      </c:pt>
                      <c:pt idx="4">
                        <c:v>5.KİŞİ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373-4087-8435-6C82481B6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25194624"/>
        <c:axId val="1625195168"/>
      </c:barChart>
      <c:catAx>
        <c:axId val="1625194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625195168"/>
        <c:crosses val="autoZero"/>
        <c:auto val="1"/>
        <c:lblAlgn val="ctr"/>
        <c:lblOffset val="100"/>
        <c:noMultiLvlLbl val="0"/>
      </c:catAx>
      <c:valAx>
        <c:axId val="162519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62519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4</xdr:row>
          <xdr:rowOff>175260</xdr:rowOff>
        </xdr:from>
        <xdr:to>
          <xdr:col>9</xdr:col>
          <xdr:colOff>259080</xdr:colOff>
          <xdr:row>6</xdr:row>
          <xdr:rowOff>99060</xdr:rowOff>
        </xdr:to>
        <xdr:sp macro="" textlink="">
          <xdr:nvSpPr>
            <xdr:cNvPr id="2049" name="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7620</xdr:rowOff>
        </xdr:from>
        <xdr:to>
          <xdr:col>17</xdr:col>
          <xdr:colOff>899160</xdr:colOff>
          <xdr:row>27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899160</xdr:colOff>
          <xdr:row>34</xdr:row>
          <xdr:rowOff>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457200</xdr:colOff>
          <xdr:row>40</xdr:row>
          <xdr:rowOff>0</xdr:rowOff>
        </xdr:from>
        <xdr:to>
          <xdr:col>17</xdr:col>
          <xdr:colOff>899160</xdr:colOff>
          <xdr:row>41</xdr:row>
          <xdr:rowOff>175260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</xdr:colOff>
          <xdr:row>49</xdr:row>
          <xdr:rowOff>0</xdr:rowOff>
        </xdr:from>
        <xdr:to>
          <xdr:col>17</xdr:col>
          <xdr:colOff>975360</xdr:colOff>
          <xdr:row>51</xdr:row>
          <xdr:rowOff>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472440</xdr:colOff>
          <xdr:row>55</xdr:row>
          <xdr:rowOff>182880</xdr:rowOff>
        </xdr:from>
        <xdr:to>
          <xdr:col>17</xdr:col>
          <xdr:colOff>914400</xdr:colOff>
          <xdr:row>58</xdr:row>
          <xdr:rowOff>22860</xdr:rowOff>
        </xdr:to>
        <xdr:sp macro="" textlink="">
          <xdr:nvSpPr>
            <xdr:cNvPr id="2054" name="CommandButton5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449580</xdr:colOff>
          <xdr:row>63</xdr:row>
          <xdr:rowOff>167640</xdr:rowOff>
        </xdr:from>
        <xdr:to>
          <xdr:col>17</xdr:col>
          <xdr:colOff>899160</xdr:colOff>
          <xdr:row>66</xdr:row>
          <xdr:rowOff>15240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</xdr:colOff>
          <xdr:row>72</xdr:row>
          <xdr:rowOff>15240</xdr:rowOff>
        </xdr:from>
        <xdr:to>
          <xdr:col>17</xdr:col>
          <xdr:colOff>891540</xdr:colOff>
          <xdr:row>73</xdr:row>
          <xdr:rowOff>137160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104775</xdr:rowOff>
    </xdr:from>
    <xdr:to>
      <xdr:col>12</xdr:col>
      <xdr:colOff>533400</xdr:colOff>
      <xdr:row>20</xdr:row>
      <xdr:rowOff>57150</xdr:rowOff>
    </xdr:to>
    <xdr:graphicFrame macro="">
      <xdr:nvGraphicFramePr>
        <xdr:cNvPr id="3" name="Çizel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85725</xdr:colOff>
      <xdr:row>0</xdr:row>
      <xdr:rowOff>161925</xdr:rowOff>
    </xdr:from>
    <xdr:to>
      <xdr:col>21</xdr:col>
      <xdr:colOff>361950</xdr:colOff>
      <xdr:row>17</xdr:row>
      <xdr:rowOff>9525</xdr:rowOff>
    </xdr:to>
    <xdr:graphicFrame macro="">
      <xdr:nvGraphicFramePr>
        <xdr:cNvPr id="4" name="Çizelge 3">
          <a:extLst>
            <a:ext uri="{FF2B5EF4-FFF2-40B4-BE49-F238E27FC236}">
              <a16:creationId xmlns:a16="http://schemas.microsoft.com/office/drawing/2014/main" id="{00000000-0008-0000-0100-000004000000}"/>
            </a:ext>
            <a:ext uri="{147F2762-F138-4A5C-976F-8EAC2B608ADB}">
              <a16:predDERef xmlns:a16="http://schemas.microsoft.com/office/drawing/2014/main" pred="{AF45B732-7EB1-4538-9456-06956DB3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Görünüm1" id="{E0030F33-485A-4736-9285-5F5671C13605}"/>
</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37"/>
  <sheetViews>
    <sheetView tabSelected="1" topLeftCell="A39" zoomScale="66" zoomScaleNormal="66" workbookViewId="0">
      <selection activeCell="N8" sqref="N8"/>
    </sheetView>
  </sheetViews>
  <sheetFormatPr defaultColWidth="8.77734375" defaultRowHeight="14.4" x14ac:dyDescent="0.3"/>
  <cols>
    <col min="1" max="1" width="24.21875" style="4" customWidth="1"/>
    <col min="2" max="8" width="6.77734375" style="4" customWidth="1"/>
    <col min="9" max="9" width="14.5546875" style="4" customWidth="1"/>
    <col min="10" max="10" width="8.44140625" style="4" customWidth="1"/>
    <col min="11" max="11" width="6.77734375" style="4" customWidth="1"/>
    <col min="12" max="12" width="12.77734375" style="4" customWidth="1"/>
    <col min="13" max="13" width="11.21875" style="4" customWidth="1"/>
    <col min="14" max="14" width="9.21875" style="4" bestFit="1" customWidth="1"/>
    <col min="15" max="15" width="11.5546875" style="4" customWidth="1"/>
    <col min="16" max="16" width="6.77734375" style="4" customWidth="1"/>
    <col min="17" max="17" width="8.77734375" style="4"/>
    <col min="18" max="18" width="23.21875" style="4" customWidth="1"/>
    <col min="19" max="22" width="8.77734375" style="4"/>
    <col min="23" max="23" width="9.21875" style="4" customWidth="1"/>
    <col min="24" max="16384" width="8.77734375" style="4"/>
  </cols>
  <sheetData>
    <row r="1" spans="1:11" x14ac:dyDescent="0.3">
      <c r="A1" s="3" t="s">
        <v>8</v>
      </c>
    </row>
    <row r="2" spans="1:11" ht="17.399999999999999" x14ac:dyDescent="0.3">
      <c r="A2" s="5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11" x14ac:dyDescent="0.3">
      <c r="A3" s="1" t="s">
        <v>9</v>
      </c>
      <c r="B3" s="6">
        <v>1</v>
      </c>
      <c r="C3" s="7">
        <v>1</v>
      </c>
      <c r="D3" s="7">
        <v>2</v>
      </c>
      <c r="E3" s="7">
        <v>3</v>
      </c>
      <c r="F3" s="7">
        <v>1</v>
      </c>
      <c r="G3" s="7">
        <v>2</v>
      </c>
      <c r="H3" s="7">
        <v>3</v>
      </c>
    </row>
    <row r="4" spans="1:11" x14ac:dyDescent="0.3">
      <c r="A4" s="1" t="s">
        <v>10</v>
      </c>
      <c r="B4" s="8">
        <f>1/C3</f>
        <v>1</v>
      </c>
      <c r="C4" s="6">
        <v>1</v>
      </c>
      <c r="D4" s="7">
        <v>1</v>
      </c>
      <c r="E4" s="7">
        <v>2</v>
      </c>
      <c r="F4" s="7">
        <v>3</v>
      </c>
      <c r="G4" s="7">
        <v>1</v>
      </c>
      <c r="H4" s="7">
        <v>2</v>
      </c>
    </row>
    <row r="5" spans="1:11" x14ac:dyDescent="0.3">
      <c r="A5" s="1" t="s">
        <v>11</v>
      </c>
      <c r="B5" s="8">
        <f>1/D3</f>
        <v>0.5</v>
      </c>
      <c r="C5" s="8">
        <f>1/D4</f>
        <v>1</v>
      </c>
      <c r="D5" s="6">
        <v>1</v>
      </c>
      <c r="E5" s="7">
        <v>2</v>
      </c>
      <c r="F5" s="7">
        <v>3</v>
      </c>
      <c r="G5" s="7">
        <v>1</v>
      </c>
      <c r="H5" s="7">
        <v>2</v>
      </c>
    </row>
    <row r="6" spans="1:11" x14ac:dyDescent="0.3">
      <c r="A6" s="1" t="s">
        <v>12</v>
      </c>
      <c r="B6" s="8">
        <f>1/E3</f>
        <v>0.33333333333333331</v>
      </c>
      <c r="C6" s="8">
        <f>1/E4</f>
        <v>0.5</v>
      </c>
      <c r="D6" s="8">
        <f>1/E5</f>
        <v>0.5</v>
      </c>
      <c r="E6" s="6">
        <v>1</v>
      </c>
      <c r="F6" s="7">
        <v>3</v>
      </c>
      <c r="G6" s="7">
        <v>1</v>
      </c>
      <c r="H6" s="7">
        <v>2</v>
      </c>
    </row>
    <row r="7" spans="1:11" x14ac:dyDescent="0.3">
      <c r="A7" s="1" t="s">
        <v>13</v>
      </c>
      <c r="B7" s="8">
        <f>1/F3</f>
        <v>1</v>
      </c>
      <c r="C7" s="8">
        <f>1/F4</f>
        <v>0.33333333333333331</v>
      </c>
      <c r="D7" s="8">
        <f>1/F5</f>
        <v>0.33333333333333331</v>
      </c>
      <c r="E7" s="8">
        <f>1/F6</f>
        <v>0.33333333333333331</v>
      </c>
      <c r="F7" s="6">
        <v>1</v>
      </c>
      <c r="G7" s="7">
        <v>2</v>
      </c>
      <c r="H7" s="7">
        <v>3</v>
      </c>
    </row>
    <row r="8" spans="1:11" x14ac:dyDescent="0.3">
      <c r="A8" s="1" t="s">
        <v>14</v>
      </c>
      <c r="B8" s="8">
        <f>1/G3</f>
        <v>0.5</v>
      </c>
      <c r="C8" s="8">
        <f>1/G4</f>
        <v>1</v>
      </c>
      <c r="D8" s="8">
        <f>1/G5</f>
        <v>1</v>
      </c>
      <c r="E8" s="7">
        <f>1/G6</f>
        <v>1</v>
      </c>
      <c r="F8" s="8">
        <f>1/G7</f>
        <v>0.5</v>
      </c>
      <c r="G8" s="6">
        <v>1</v>
      </c>
      <c r="H8" s="7">
        <v>1</v>
      </c>
    </row>
    <row r="9" spans="1:11" x14ac:dyDescent="0.3">
      <c r="A9" s="1" t="s">
        <v>15</v>
      </c>
      <c r="B9" s="8">
        <f>1/H3</f>
        <v>0.33333333333333331</v>
      </c>
      <c r="C9" s="8">
        <f>1/H4</f>
        <v>0.5</v>
      </c>
      <c r="D9" s="7">
        <f>1/H5</f>
        <v>0.5</v>
      </c>
      <c r="E9" s="7">
        <f>1/H6</f>
        <v>0.5</v>
      </c>
      <c r="F9" s="8">
        <f>1/H7</f>
        <v>0.33333333333333331</v>
      </c>
      <c r="G9" s="8">
        <f>1/H8</f>
        <v>1</v>
      </c>
      <c r="H9" s="6">
        <v>1</v>
      </c>
    </row>
    <row r="10" spans="1:11" x14ac:dyDescent="0.3">
      <c r="A10" s="9" t="s">
        <v>16</v>
      </c>
      <c r="B10" s="10">
        <f t="shared" ref="B10:H10" si="0">SUM(B3:B9)</f>
        <v>4.666666666666667</v>
      </c>
      <c r="C10" s="10">
        <f t="shared" si="0"/>
        <v>5.3333333333333339</v>
      </c>
      <c r="D10" s="10">
        <f t="shared" si="0"/>
        <v>6.333333333333333</v>
      </c>
      <c r="E10" s="10">
        <f t="shared" si="0"/>
        <v>9.8333333333333339</v>
      </c>
      <c r="F10" s="10">
        <f t="shared" si="0"/>
        <v>11.833333333333334</v>
      </c>
      <c r="G10" s="10">
        <f t="shared" si="0"/>
        <v>9</v>
      </c>
      <c r="H10" s="10">
        <f t="shared" si="0"/>
        <v>14</v>
      </c>
    </row>
    <row r="12" spans="1:11" x14ac:dyDescent="0.3">
      <c r="A12" s="11" t="s">
        <v>17</v>
      </c>
      <c r="I12" s="12" t="s">
        <v>16</v>
      </c>
      <c r="J12" s="12" t="s">
        <v>18</v>
      </c>
      <c r="K12" s="12" t="s">
        <v>19</v>
      </c>
    </row>
    <row r="13" spans="1:11" x14ac:dyDescent="0.3">
      <c r="A13" s="13" t="s">
        <v>9</v>
      </c>
      <c r="B13" s="14">
        <f t="shared" ref="B13:B19" si="1">B3/$B$10</f>
        <v>0.21428571428571427</v>
      </c>
      <c r="C13" s="15">
        <f t="shared" ref="C13:C19" si="2">C3/$C$10</f>
        <v>0.18749999999999997</v>
      </c>
      <c r="D13" s="15">
        <f t="shared" ref="D13:D19" si="3">D3/$D$10</f>
        <v>0.31578947368421056</v>
      </c>
      <c r="E13" s="15">
        <f t="shared" ref="E13:E19" si="4">E3/$E$10</f>
        <v>0.30508474576271183</v>
      </c>
      <c r="F13" s="15">
        <f t="shared" ref="F13:F19" si="5">F3/$F$10</f>
        <v>8.4507042253521125E-2</v>
      </c>
      <c r="G13" s="15">
        <f t="shared" ref="G13:G19" si="6">G3/$G$10</f>
        <v>0.22222222222222221</v>
      </c>
      <c r="H13" s="15">
        <f t="shared" ref="H13:H19" si="7">H3/$H$10</f>
        <v>0.21428571428571427</v>
      </c>
      <c r="I13" s="16">
        <f t="shared" ref="I13:I19" si="8">SUM(B13:H13)</f>
        <v>1.5436749124940941</v>
      </c>
      <c r="J13" s="16">
        <f>I13/$I$20</f>
        <v>0.22052498749915633</v>
      </c>
      <c r="K13" s="16">
        <f t="shared" ref="K13:K19" si="9">J13*100</f>
        <v>22.052498749915632</v>
      </c>
    </row>
    <row r="14" spans="1:11" x14ac:dyDescent="0.3">
      <c r="A14" s="13" t="s">
        <v>10</v>
      </c>
      <c r="B14" s="14">
        <f t="shared" si="1"/>
        <v>0.21428571428571427</v>
      </c>
      <c r="C14" s="15">
        <f t="shared" si="2"/>
        <v>0.18749999999999997</v>
      </c>
      <c r="D14" s="15">
        <f t="shared" si="3"/>
        <v>0.15789473684210528</v>
      </c>
      <c r="E14" s="15">
        <f t="shared" si="4"/>
        <v>0.20338983050847456</v>
      </c>
      <c r="F14" s="15">
        <f t="shared" si="5"/>
        <v>0.25352112676056338</v>
      </c>
      <c r="G14" s="15">
        <f t="shared" si="6"/>
        <v>0.1111111111111111</v>
      </c>
      <c r="H14" s="15">
        <f t="shared" si="7"/>
        <v>0.14285714285714285</v>
      </c>
      <c r="I14" s="16">
        <f t="shared" si="8"/>
        <v>1.2705596623651114</v>
      </c>
      <c r="J14" s="16">
        <f t="shared" ref="J14:J19" si="10">I14/$I$20</f>
        <v>0.18150852319501595</v>
      </c>
      <c r="K14" s="16">
        <f t="shared" si="9"/>
        <v>18.150852319501595</v>
      </c>
    </row>
    <row r="15" spans="1:11" x14ac:dyDescent="0.3">
      <c r="A15" s="13" t="s">
        <v>11</v>
      </c>
      <c r="B15" s="14">
        <f t="shared" si="1"/>
        <v>0.10714285714285714</v>
      </c>
      <c r="C15" s="15">
        <f t="shared" si="2"/>
        <v>0.18749999999999997</v>
      </c>
      <c r="D15" s="15">
        <f t="shared" si="3"/>
        <v>0.15789473684210528</v>
      </c>
      <c r="E15" s="15">
        <f t="shared" si="4"/>
        <v>0.20338983050847456</v>
      </c>
      <c r="F15" s="15">
        <f t="shared" si="5"/>
        <v>0.25352112676056338</v>
      </c>
      <c r="G15" s="15">
        <f t="shared" si="6"/>
        <v>0.1111111111111111</v>
      </c>
      <c r="H15" s="15">
        <f t="shared" si="7"/>
        <v>0.14285714285714285</v>
      </c>
      <c r="I15" s="16">
        <f t="shared" si="8"/>
        <v>1.1634168052222542</v>
      </c>
      <c r="J15" s="16">
        <f t="shared" si="10"/>
        <v>0.16620240074603634</v>
      </c>
      <c r="K15" s="16">
        <f t="shared" si="9"/>
        <v>16.620240074603636</v>
      </c>
    </row>
    <row r="16" spans="1:11" x14ac:dyDescent="0.3">
      <c r="A16" s="13" t="s">
        <v>12</v>
      </c>
      <c r="B16" s="14">
        <f t="shared" si="1"/>
        <v>7.1428571428571425E-2</v>
      </c>
      <c r="C16" s="15">
        <f t="shared" si="2"/>
        <v>9.3749999999999986E-2</v>
      </c>
      <c r="D16" s="15">
        <f t="shared" si="3"/>
        <v>7.8947368421052641E-2</v>
      </c>
      <c r="E16" s="15">
        <f t="shared" si="4"/>
        <v>0.10169491525423728</v>
      </c>
      <c r="F16" s="15">
        <f t="shared" si="5"/>
        <v>0.25352112676056338</v>
      </c>
      <c r="G16" s="15">
        <f t="shared" si="6"/>
        <v>0.1111111111111111</v>
      </c>
      <c r="H16" s="15">
        <f t="shared" si="7"/>
        <v>0.14285714285714285</v>
      </c>
      <c r="I16" s="16">
        <f t="shared" si="8"/>
        <v>0.85331023583267873</v>
      </c>
      <c r="J16" s="16">
        <f t="shared" si="10"/>
        <v>0.12190146226181127</v>
      </c>
      <c r="K16" s="16">
        <f t="shared" si="9"/>
        <v>12.190146226181128</v>
      </c>
    </row>
    <row r="17" spans="1:16" x14ac:dyDescent="0.3">
      <c r="A17" s="13" t="s">
        <v>13</v>
      </c>
      <c r="B17" s="14">
        <f t="shared" si="1"/>
        <v>0.21428571428571427</v>
      </c>
      <c r="C17" s="15">
        <f t="shared" si="2"/>
        <v>6.2499999999999986E-2</v>
      </c>
      <c r="D17" s="15">
        <f t="shared" si="3"/>
        <v>5.2631578947368418E-2</v>
      </c>
      <c r="E17" s="15">
        <f t="shared" si="4"/>
        <v>3.3898305084745756E-2</v>
      </c>
      <c r="F17" s="15">
        <f t="shared" si="5"/>
        <v>8.4507042253521125E-2</v>
      </c>
      <c r="G17" s="15">
        <f t="shared" si="6"/>
        <v>0.22222222222222221</v>
      </c>
      <c r="H17" s="15">
        <f t="shared" si="7"/>
        <v>0.21428571428571427</v>
      </c>
      <c r="I17" s="16">
        <f t="shared" si="8"/>
        <v>0.88433057707928608</v>
      </c>
      <c r="J17" s="16">
        <f t="shared" si="10"/>
        <v>0.12633293958275518</v>
      </c>
      <c r="K17" s="16">
        <f t="shared" si="9"/>
        <v>12.633293958275518</v>
      </c>
    </row>
    <row r="18" spans="1:16" x14ac:dyDescent="0.3">
      <c r="A18" s="13" t="s">
        <v>14</v>
      </c>
      <c r="B18" s="14">
        <f t="shared" si="1"/>
        <v>0.10714285714285714</v>
      </c>
      <c r="C18" s="15">
        <f t="shared" si="2"/>
        <v>0.18749999999999997</v>
      </c>
      <c r="D18" s="15">
        <f t="shared" si="3"/>
        <v>0.15789473684210528</v>
      </c>
      <c r="E18" s="15">
        <f t="shared" si="4"/>
        <v>0.10169491525423728</v>
      </c>
      <c r="F18" s="15">
        <f t="shared" si="5"/>
        <v>4.2253521126760563E-2</v>
      </c>
      <c r="G18" s="15">
        <f t="shared" si="6"/>
        <v>0.1111111111111111</v>
      </c>
      <c r="H18" s="15">
        <f t="shared" si="7"/>
        <v>7.1428571428571425E-2</v>
      </c>
      <c r="I18" s="16">
        <f t="shared" si="8"/>
        <v>0.77902571290564282</v>
      </c>
      <c r="J18" s="16">
        <f t="shared" si="10"/>
        <v>0.11128938755794898</v>
      </c>
      <c r="K18" s="16">
        <f t="shared" si="9"/>
        <v>11.128938755794898</v>
      </c>
    </row>
    <row r="19" spans="1:16" x14ac:dyDescent="0.3">
      <c r="A19" s="13" t="s">
        <v>15</v>
      </c>
      <c r="B19" s="14">
        <f t="shared" si="1"/>
        <v>7.1428571428571425E-2</v>
      </c>
      <c r="C19" s="15">
        <f t="shared" si="2"/>
        <v>9.3749999999999986E-2</v>
      </c>
      <c r="D19" s="15">
        <f t="shared" si="3"/>
        <v>7.8947368421052641E-2</v>
      </c>
      <c r="E19" s="15">
        <f t="shared" si="4"/>
        <v>5.084745762711864E-2</v>
      </c>
      <c r="F19" s="15">
        <f t="shared" si="5"/>
        <v>2.8169014084507039E-2</v>
      </c>
      <c r="G19" s="15">
        <f t="shared" si="6"/>
        <v>0.1111111111111111</v>
      </c>
      <c r="H19" s="15">
        <f t="shared" si="7"/>
        <v>7.1428571428571425E-2</v>
      </c>
      <c r="I19" s="16">
        <f t="shared" si="8"/>
        <v>0.50568209410093223</v>
      </c>
      <c r="J19" s="16">
        <f t="shared" si="10"/>
        <v>7.2240299157276047E-2</v>
      </c>
      <c r="K19" s="16">
        <f t="shared" si="9"/>
        <v>7.2240299157276047</v>
      </c>
    </row>
    <row r="20" spans="1:16" x14ac:dyDescent="0.3">
      <c r="A20" s="17" t="s">
        <v>16</v>
      </c>
      <c r="B20" s="18">
        <f>SUM(B13:B19)</f>
        <v>0.99999999999999989</v>
      </c>
      <c r="C20" s="19">
        <f t="shared" ref="C20:H20" si="11">SUM(C13:C19)</f>
        <v>0.99999999999999989</v>
      </c>
      <c r="D20" s="19">
        <f t="shared" si="11"/>
        <v>1.0000000000000002</v>
      </c>
      <c r="E20" s="19">
        <f t="shared" si="11"/>
        <v>0.99999999999999989</v>
      </c>
      <c r="F20" s="19">
        <f t="shared" si="11"/>
        <v>1</v>
      </c>
      <c r="G20" s="19">
        <f t="shared" si="11"/>
        <v>1</v>
      </c>
      <c r="H20" s="19">
        <f t="shared" si="11"/>
        <v>0.99999999999999989</v>
      </c>
      <c r="I20" s="16">
        <f>SUM(I13:I19)</f>
        <v>6.9999999999999991</v>
      </c>
      <c r="J20" s="16">
        <f>SUM(J13:J19)</f>
        <v>1.0000000000000002</v>
      </c>
      <c r="K20" s="16">
        <f t="shared" ref="K20" si="12">SUM(K13:K19)</f>
        <v>100.00000000000001</v>
      </c>
    </row>
    <row r="22" spans="1:16" x14ac:dyDescent="0.3">
      <c r="A22" s="68" t="s">
        <v>20</v>
      </c>
      <c r="B22" s="68"/>
      <c r="C22" s="68"/>
      <c r="D22" s="68"/>
      <c r="E22" s="68"/>
      <c r="F22" s="68"/>
    </row>
    <row r="23" spans="1:16" x14ac:dyDescent="0.3">
      <c r="A23" s="23" t="s">
        <v>21</v>
      </c>
      <c r="B23" s="67" t="s">
        <v>22</v>
      </c>
      <c r="C23" s="67" t="s">
        <v>23</v>
      </c>
      <c r="D23" s="67" t="s">
        <v>24</v>
      </c>
      <c r="E23" s="67" t="s">
        <v>25</v>
      </c>
      <c r="F23" s="67" t="s">
        <v>26</v>
      </c>
      <c r="H23" s="79" t="s">
        <v>27</v>
      </c>
      <c r="I23" s="80"/>
      <c r="J23" s="80"/>
      <c r="K23" s="80"/>
      <c r="L23" s="80"/>
      <c r="N23" s="76" t="s">
        <v>28</v>
      </c>
      <c r="O23" s="77"/>
    </row>
    <row r="24" spans="1:16" x14ac:dyDescent="0.3">
      <c r="A24" s="67" t="s">
        <v>22</v>
      </c>
      <c r="B24" s="24">
        <v>1</v>
      </c>
      <c r="C24" s="25">
        <v>2</v>
      </c>
      <c r="D24" s="26">
        <v>1</v>
      </c>
      <c r="E24" s="25">
        <v>2</v>
      </c>
      <c r="F24" s="26">
        <v>3</v>
      </c>
      <c r="H24" s="25">
        <f>B24/(B24+B25+B26+B27+B28)</f>
        <v>0.3</v>
      </c>
      <c r="I24" s="25">
        <f>C24/(C24+C25+C26+C27+C28)</f>
        <v>0.36363636363636365</v>
      </c>
      <c r="J24" s="25">
        <f>D24/(D24+D25+D26+D27+D28)</f>
        <v>0.2608695652173913</v>
      </c>
      <c r="K24" s="25">
        <f>E24/(E24+E25+E26+E27+E28)</f>
        <v>0.26666666666666666</v>
      </c>
      <c r="L24" s="25">
        <f>F24/(F24+F25+F26+F27+F28)</f>
        <v>0.3</v>
      </c>
      <c r="N24" s="71">
        <f>(H24+I24+J24+K24+L24)/5</f>
        <v>0.29823451910408433</v>
      </c>
      <c r="O24" s="72"/>
    </row>
    <row r="25" spans="1:16" x14ac:dyDescent="0.3">
      <c r="A25" s="67" t="s">
        <v>23</v>
      </c>
      <c r="B25" s="26">
        <f>1/C24</f>
        <v>0.5</v>
      </c>
      <c r="C25" s="24">
        <v>1</v>
      </c>
      <c r="D25" s="25">
        <v>1</v>
      </c>
      <c r="E25" s="26">
        <v>2</v>
      </c>
      <c r="F25" s="26">
        <v>1</v>
      </c>
      <c r="H25" s="25">
        <f>B25/(B24+B25+B26+B27+B28)</f>
        <v>0.15</v>
      </c>
      <c r="I25" s="25">
        <f>C25/(C24+C25+C26+C27+C28)</f>
        <v>0.18181818181818182</v>
      </c>
      <c r="J25" s="25">
        <f>D25/(D24+D25+D26+D27+D28)</f>
        <v>0.2608695652173913</v>
      </c>
      <c r="K25" s="25">
        <f>E25/(E24+E25+E26+E27+E28)</f>
        <v>0.26666666666666666</v>
      </c>
      <c r="L25" s="25">
        <f>F25/(F24+F25+F26+F27+F28)</f>
        <v>0.1</v>
      </c>
      <c r="N25" s="71">
        <f>(H25+I25+J25+K25+L25)/5</f>
        <v>0.19187088274044795</v>
      </c>
      <c r="O25" s="72"/>
    </row>
    <row r="26" spans="1:16" x14ac:dyDescent="0.3">
      <c r="A26" s="67" t="s">
        <v>24</v>
      </c>
      <c r="B26" s="26">
        <f>1/D24</f>
        <v>1</v>
      </c>
      <c r="C26" s="26">
        <f>1/D25</f>
        <v>1</v>
      </c>
      <c r="D26" s="24">
        <v>1</v>
      </c>
      <c r="E26" s="26">
        <v>2</v>
      </c>
      <c r="F26" s="25">
        <v>3</v>
      </c>
      <c r="H26" s="25">
        <f>B26/(B24+B25+B26+B27+B28)</f>
        <v>0.3</v>
      </c>
      <c r="I26" s="25">
        <f>C26/(C24+C25+C26+C27+C28)</f>
        <v>0.18181818181818182</v>
      </c>
      <c r="J26" s="25">
        <f>D26/(D24+D25+D26+D27+D28)</f>
        <v>0.2608695652173913</v>
      </c>
      <c r="K26" s="25">
        <f>E26/(E24+E25+E26+E27+E28)</f>
        <v>0.26666666666666666</v>
      </c>
      <c r="L26" s="25">
        <f>F26/(F24+F25+F26+F27+F28)</f>
        <v>0.3</v>
      </c>
      <c r="N26" s="71">
        <f>(H26+I26+J26+K26+L26)/5</f>
        <v>0.26187088274044795</v>
      </c>
      <c r="O26" s="72"/>
      <c r="P26" s="27"/>
    </row>
    <row r="27" spans="1:16" x14ac:dyDescent="0.3">
      <c r="A27" s="67" t="s">
        <v>25</v>
      </c>
      <c r="B27" s="26">
        <f>1/E24</f>
        <v>0.5</v>
      </c>
      <c r="C27" s="26">
        <f>1/E25</f>
        <v>0.5</v>
      </c>
      <c r="D27" s="26">
        <f>1/E26</f>
        <v>0.5</v>
      </c>
      <c r="E27" s="24">
        <v>1</v>
      </c>
      <c r="F27" s="25">
        <v>2</v>
      </c>
      <c r="H27" s="25">
        <f>B27/(B24+B25+B26+B27+B28)</f>
        <v>0.15</v>
      </c>
      <c r="I27" s="25">
        <f>C27/(C24+C25+C26+C27+C28)</f>
        <v>9.0909090909090912E-2</v>
      </c>
      <c r="J27" s="25">
        <f>D27/(D24+D25+D26+D27+D28)</f>
        <v>0.13043478260869565</v>
      </c>
      <c r="K27" s="25">
        <f>E27/(E24+E25+E26+E27+E28)</f>
        <v>0.13333333333333333</v>
      </c>
      <c r="L27" s="25">
        <f>F27/(F24+F25+F26+F27+F28)</f>
        <v>0.2</v>
      </c>
      <c r="N27" s="71">
        <f>(H27+I27+J27+K27+L27)/5</f>
        <v>0.14093544137022396</v>
      </c>
      <c r="O27" s="72"/>
    </row>
    <row r="28" spans="1:16" x14ac:dyDescent="0.3">
      <c r="A28" s="28" t="s">
        <v>26</v>
      </c>
      <c r="B28" s="30">
        <f>1/F24</f>
        <v>0.33333333333333331</v>
      </c>
      <c r="C28" s="30">
        <f>1/F25</f>
        <v>1</v>
      </c>
      <c r="D28" s="30">
        <f>1/F26</f>
        <v>0.33333333333333331</v>
      </c>
      <c r="E28" s="30">
        <f>1/F27</f>
        <v>0.5</v>
      </c>
      <c r="F28" s="31">
        <v>1</v>
      </c>
      <c r="H28" s="29">
        <f>B28/(B24+B25+B26+B27+B28)</f>
        <v>9.9999999999999992E-2</v>
      </c>
      <c r="I28" s="29">
        <f>C28/(C24+C25+C26+C27+C28)</f>
        <v>0.18181818181818182</v>
      </c>
      <c r="J28" s="29">
        <f>D28/(D24+D25+D26+D27+D28)</f>
        <v>8.6956521739130432E-2</v>
      </c>
      <c r="K28" s="29">
        <f>E28/(E24+E25+E26+E27+E28)</f>
        <v>6.6666666666666666E-2</v>
      </c>
      <c r="L28" s="29">
        <f>F28/(F24+F25+F26+F27+F28)</f>
        <v>0.1</v>
      </c>
      <c r="N28" s="71">
        <f>(H28+I28+J28+K28+L28)/5</f>
        <v>0.10708827404479578</v>
      </c>
      <c r="O28" s="72"/>
    </row>
    <row r="29" spans="1:16" x14ac:dyDescent="0.3">
      <c r="A29" s="32" t="s">
        <v>16</v>
      </c>
      <c r="B29" s="33">
        <v>7.5333329999999998</v>
      </c>
      <c r="C29" s="33">
        <f>C24</f>
        <v>2</v>
      </c>
      <c r="D29" s="33">
        <v>13.5</v>
      </c>
      <c r="E29" s="34">
        <f>E24+E25+E26+E27+E28</f>
        <v>7.5</v>
      </c>
      <c r="F29" s="33">
        <v>5.5833329999999997</v>
      </c>
      <c r="H29" s="35">
        <f>H24+H25+H26+H27+H28</f>
        <v>1</v>
      </c>
      <c r="I29" s="35">
        <f>I24+I25+I26+I27+I28</f>
        <v>1</v>
      </c>
      <c r="J29" s="35">
        <f>J24+J25+J26+J27+J28</f>
        <v>1</v>
      </c>
      <c r="K29" s="35">
        <f>K23+K24+K25+K26+K27+K28</f>
        <v>1</v>
      </c>
      <c r="L29" s="17">
        <f>L24+L25+L26+L27+L28</f>
        <v>0.99999999999999989</v>
      </c>
      <c r="N29" s="69">
        <f>N24+N25+N26+N27+N28</f>
        <v>1</v>
      </c>
      <c r="O29" s="70"/>
    </row>
    <row r="30" spans="1:16" x14ac:dyDescent="0.3">
      <c r="A30" s="36"/>
      <c r="B30" s="37"/>
      <c r="C30" s="37"/>
      <c r="D30" s="37"/>
      <c r="E30" s="38"/>
      <c r="F30" s="39"/>
    </row>
    <row r="31" spans="1:16" x14ac:dyDescent="0.3">
      <c r="A31" s="40" t="s">
        <v>29</v>
      </c>
      <c r="B31" s="41" t="s">
        <v>22</v>
      </c>
      <c r="C31" s="41" t="s">
        <v>23</v>
      </c>
      <c r="D31" s="41" t="s">
        <v>24</v>
      </c>
      <c r="E31" s="42" t="s">
        <v>25</v>
      </c>
      <c r="F31" s="41" t="s">
        <v>26</v>
      </c>
      <c r="H31" s="73" t="s">
        <v>27</v>
      </c>
      <c r="I31" s="74"/>
      <c r="J31" s="74"/>
      <c r="K31" s="74"/>
      <c r="L31" s="75"/>
      <c r="N31" s="69" t="s">
        <v>28</v>
      </c>
      <c r="O31" s="70"/>
    </row>
    <row r="32" spans="1:16" x14ac:dyDescent="0.3">
      <c r="A32" s="67" t="s">
        <v>22</v>
      </c>
      <c r="B32" s="24">
        <v>1</v>
      </c>
      <c r="C32" s="25">
        <v>1</v>
      </c>
      <c r="D32" s="43">
        <v>2</v>
      </c>
      <c r="E32" s="25">
        <v>3</v>
      </c>
      <c r="F32" s="44">
        <v>2</v>
      </c>
      <c r="H32" s="25">
        <f>B32/(B32+B33+B34+B35+B36)</f>
        <v>0.3</v>
      </c>
      <c r="I32" s="25">
        <f>C32/(C32+C33+C34+C35+C36)</f>
        <v>0.2608695652173913</v>
      </c>
      <c r="J32" s="25">
        <f>D32/(D32+D33+D34+D35+D36)</f>
        <v>0.36363636363636365</v>
      </c>
      <c r="K32" s="25">
        <f>E32/(E32+E33+E34+E35+E36)</f>
        <v>0.36363636363636365</v>
      </c>
      <c r="L32" s="25">
        <f>F32/(F32+F33+F34+F35+F36)</f>
        <v>0.18181818181818182</v>
      </c>
      <c r="N32" s="71">
        <f>(H32+I32+J32+K32+L32)/5</f>
        <v>0.29399209486166006</v>
      </c>
      <c r="O32" s="72"/>
    </row>
    <row r="33" spans="1:15" x14ac:dyDescent="0.3">
      <c r="A33" s="67" t="s">
        <v>23</v>
      </c>
      <c r="B33" s="26">
        <f>1/C32</f>
        <v>1</v>
      </c>
      <c r="C33" s="24">
        <v>1</v>
      </c>
      <c r="D33" s="25">
        <v>1</v>
      </c>
      <c r="E33" s="26">
        <v>3</v>
      </c>
      <c r="F33" s="25">
        <v>2</v>
      </c>
      <c r="H33" s="25">
        <f>B33/(B32+B33+B34+B35+B36)</f>
        <v>0.3</v>
      </c>
      <c r="I33" s="25">
        <f>C33/(C32+C33+C34+C35+C36)</f>
        <v>0.2608695652173913</v>
      </c>
      <c r="J33" s="25">
        <f>D33/(D32+D33+D34+D35+D36)</f>
        <v>0.18181818181818182</v>
      </c>
      <c r="K33" s="25">
        <f>E33/(E32+E33+E34+E35+E36)</f>
        <v>0.36363636363636365</v>
      </c>
      <c r="L33" s="25">
        <f>F33/(F32+F33+F34+F35+F36)</f>
        <v>0.18181818181818182</v>
      </c>
      <c r="N33" s="71">
        <f>(H33+I33+J33+K33+L33)/5</f>
        <v>0.25762845849802374</v>
      </c>
      <c r="O33" s="72"/>
    </row>
    <row r="34" spans="1:15" x14ac:dyDescent="0.3">
      <c r="A34" s="67" t="s">
        <v>24</v>
      </c>
      <c r="B34" s="26">
        <f>1/D32</f>
        <v>0.5</v>
      </c>
      <c r="C34" s="26">
        <f>1/D33</f>
        <v>1</v>
      </c>
      <c r="D34" s="24">
        <v>1</v>
      </c>
      <c r="E34" s="25">
        <v>1</v>
      </c>
      <c r="F34" s="25">
        <v>2</v>
      </c>
      <c r="H34" s="25">
        <f>B34/(B32+B33+B34+B35+B36)</f>
        <v>0.15</v>
      </c>
      <c r="I34" s="25">
        <f>C34/(C32+C33+C34+C35+C36)</f>
        <v>0.2608695652173913</v>
      </c>
      <c r="J34" s="25">
        <f>D34/(D32+D33+D34+D35+D36)</f>
        <v>0.18181818181818182</v>
      </c>
      <c r="K34" s="25">
        <f>E34/(E32+E33+E34+E35+E36)</f>
        <v>0.12121212121212122</v>
      </c>
      <c r="L34" s="25">
        <f>F34/(F32+F33+F34+F35+F36)</f>
        <v>0.18181818181818182</v>
      </c>
      <c r="N34" s="71">
        <f>(H34+I34+J34+K34+L34)/5</f>
        <v>0.17914361001317522</v>
      </c>
      <c r="O34" s="72"/>
    </row>
    <row r="35" spans="1:15" x14ac:dyDescent="0.3">
      <c r="A35" s="67" t="s">
        <v>25</v>
      </c>
      <c r="B35" s="26">
        <f>1/E32</f>
        <v>0.33333333333333331</v>
      </c>
      <c r="C35" s="26">
        <f>1/E33</f>
        <v>0.33333333333333331</v>
      </c>
      <c r="D35" s="26">
        <f>1/E34</f>
        <v>1</v>
      </c>
      <c r="E35" s="24">
        <v>1</v>
      </c>
      <c r="F35" s="25">
        <v>4</v>
      </c>
      <c r="H35" s="25">
        <f>B35/(B32+B33+B34+B35+B36)</f>
        <v>9.9999999999999992E-2</v>
      </c>
      <c r="I35" s="25">
        <f>C35/(C32+C33+C34+C35+C36)</f>
        <v>8.6956521739130432E-2</v>
      </c>
      <c r="J35" s="25">
        <f>D35/(D32+D33+D34+D35+D36)</f>
        <v>0.18181818181818182</v>
      </c>
      <c r="K35" s="25">
        <f>E35/(E32+E33+E34+E35+E36)</f>
        <v>0.12121212121212122</v>
      </c>
      <c r="L35" s="25">
        <f>F35/(F32+F33+F34+F35+F36)</f>
        <v>0.36363636363636365</v>
      </c>
      <c r="N35" s="71">
        <f>(H35+I35+J35+K35+L35)/5</f>
        <v>0.17072463768115942</v>
      </c>
      <c r="O35" s="72"/>
    </row>
    <row r="36" spans="1:15" x14ac:dyDescent="0.3">
      <c r="A36" s="28" t="s">
        <v>26</v>
      </c>
      <c r="B36" s="30">
        <f>1/F32</f>
        <v>0.5</v>
      </c>
      <c r="C36" s="30">
        <f>1/F33</f>
        <v>0.5</v>
      </c>
      <c r="D36" s="30">
        <f>1/F34</f>
        <v>0.5</v>
      </c>
      <c r="E36" s="30">
        <f>1/F35</f>
        <v>0.25</v>
      </c>
      <c r="F36" s="31">
        <v>1</v>
      </c>
      <c r="H36" s="25">
        <f>B36/(B32+B33+B34+B35+B36)</f>
        <v>0.15</v>
      </c>
      <c r="I36" s="25">
        <f>C36/(C32+C33+C34+C35+C36)</f>
        <v>0.13043478260869565</v>
      </c>
      <c r="J36" s="25">
        <f>D36/(D32+D33+D34+D35+D36)</f>
        <v>9.0909090909090912E-2</v>
      </c>
      <c r="K36" s="25">
        <f>E36/(E32+E33+E34+E35+E36)</f>
        <v>3.0303030303030304E-2</v>
      </c>
      <c r="L36" s="25">
        <f>F36/(F32+F33+F34+F35+F36)</f>
        <v>9.0909090909090912E-2</v>
      </c>
      <c r="N36" s="71">
        <f>(H36+I36+J36+K36+L36)/5</f>
        <v>9.8511198945981551E-2</v>
      </c>
      <c r="O36" s="72"/>
    </row>
    <row r="37" spans="1:15" x14ac:dyDescent="0.3">
      <c r="A37" s="17" t="s">
        <v>16</v>
      </c>
      <c r="B37" s="45">
        <f>B32+B33+B34+B35+B36</f>
        <v>3.3333333333333335</v>
      </c>
      <c r="C37" s="45">
        <f>C32+C33+C34+C35+C36</f>
        <v>3.8333333333333335</v>
      </c>
      <c r="D37" s="45">
        <f>D32+D33+D34+D35+D36</f>
        <v>5.5</v>
      </c>
      <c r="E37" s="46">
        <f>E32+E33+E34+E35+E36</f>
        <v>8.25</v>
      </c>
      <c r="F37" s="17">
        <f>F32+F33+F34+F35+F36</f>
        <v>11</v>
      </c>
      <c r="H37" s="17">
        <f>H32+H33+H34+H35+H36</f>
        <v>1</v>
      </c>
      <c r="I37" s="17">
        <f>I32+I33+I34+I35+I36</f>
        <v>0.99999999999999989</v>
      </c>
      <c r="J37" s="17">
        <f>J32+J33+J34+J35+J36</f>
        <v>1</v>
      </c>
      <c r="K37" s="17">
        <f>K32+K33+K34+K35+K36</f>
        <v>1</v>
      </c>
      <c r="L37" s="17">
        <f>L32+L33+L34+L35+L36</f>
        <v>1</v>
      </c>
      <c r="N37" s="69">
        <f>N32+N33+N34+N35+N36</f>
        <v>1</v>
      </c>
      <c r="O37" s="70"/>
    </row>
    <row r="39" spans="1:15" x14ac:dyDescent="0.3">
      <c r="A39" s="23" t="s">
        <v>30</v>
      </c>
      <c r="B39" s="67" t="s">
        <v>22</v>
      </c>
      <c r="C39" s="67" t="s">
        <v>23</v>
      </c>
      <c r="D39" s="67" t="s">
        <v>24</v>
      </c>
      <c r="E39" s="67" t="s">
        <v>25</v>
      </c>
      <c r="F39" s="67" t="s">
        <v>26</v>
      </c>
      <c r="H39" s="81" t="s">
        <v>27</v>
      </c>
      <c r="I39" s="81"/>
      <c r="J39" s="81"/>
      <c r="K39" s="81"/>
      <c r="L39" s="81"/>
      <c r="N39" s="69" t="s">
        <v>28</v>
      </c>
      <c r="O39" s="70"/>
    </row>
    <row r="40" spans="1:15" x14ac:dyDescent="0.3">
      <c r="A40" s="67" t="s">
        <v>22</v>
      </c>
      <c r="B40" s="24">
        <v>1</v>
      </c>
      <c r="C40" s="25">
        <v>2</v>
      </c>
      <c r="D40" s="25">
        <v>1</v>
      </c>
      <c r="E40" s="26">
        <v>2</v>
      </c>
      <c r="F40" s="25">
        <v>2</v>
      </c>
      <c r="G40" s="47"/>
      <c r="H40" s="25">
        <f>B40/(B40+B41+B42+B43+B44)</f>
        <v>0.2857142857142857</v>
      </c>
      <c r="I40" s="25">
        <f>C40/(C40+C41+C42+C43+C44)</f>
        <v>0.41379310344827591</v>
      </c>
      <c r="J40" s="25">
        <f>D40/(D40+D41+D42+D43+D44)</f>
        <v>0.22222222222222221</v>
      </c>
      <c r="K40" s="25">
        <f>E40/(E40+E41+E42+E43+E44)</f>
        <v>0.31578947368421056</v>
      </c>
      <c r="L40" s="25">
        <f>F40/(F40+F41+F42+F43+F44)</f>
        <v>0.18181818181818182</v>
      </c>
      <c r="N40" s="71">
        <f>(H40+I40+J40+K40+L40)/5</f>
        <v>0.28386745337743524</v>
      </c>
      <c r="O40" s="72"/>
    </row>
    <row r="41" spans="1:15" x14ac:dyDescent="0.3">
      <c r="A41" s="67" t="s">
        <v>23</v>
      </c>
      <c r="B41" s="26">
        <f>1/C40</f>
        <v>0.5</v>
      </c>
      <c r="C41" s="24">
        <v>1</v>
      </c>
      <c r="D41" s="26">
        <v>1</v>
      </c>
      <c r="E41" s="25">
        <v>2</v>
      </c>
      <c r="F41" s="25">
        <v>3</v>
      </c>
      <c r="H41" s="25">
        <f>B41/(B40+B41+B42+B43+B44)</f>
        <v>0.14285714285714285</v>
      </c>
      <c r="I41" s="25">
        <f>C41/(C40+C41+C42+C43+C44)</f>
        <v>0.20689655172413796</v>
      </c>
      <c r="J41" s="25">
        <f>D41/(D40+D41+D42+D43+D44)</f>
        <v>0.22222222222222221</v>
      </c>
      <c r="K41" s="25">
        <f>E41/(E40+E41+E42+E43+E44)</f>
        <v>0.31578947368421056</v>
      </c>
      <c r="L41" s="25">
        <f>F41/(F40+F41+F42+F43+F44)</f>
        <v>0.27272727272727271</v>
      </c>
      <c r="N41" s="71">
        <f>(H41+I41+J41+K41+L41)/5</f>
        <v>0.23209853264299726</v>
      </c>
      <c r="O41" s="72"/>
    </row>
    <row r="42" spans="1:15" x14ac:dyDescent="0.3">
      <c r="A42" s="67" t="s">
        <v>24</v>
      </c>
      <c r="B42" s="26">
        <f>1/D40</f>
        <v>1</v>
      </c>
      <c r="C42" s="26">
        <f>1/D41</f>
        <v>1</v>
      </c>
      <c r="D42" s="24">
        <v>1</v>
      </c>
      <c r="E42" s="25">
        <v>1</v>
      </c>
      <c r="F42" s="25">
        <v>2</v>
      </c>
      <c r="H42" s="25">
        <f>B42/(B40+B41+B42+B43+B44)</f>
        <v>0.2857142857142857</v>
      </c>
      <c r="I42" s="25">
        <f>C42/(C40+C41+C42+C43+C44)</f>
        <v>0.20689655172413796</v>
      </c>
      <c r="J42" s="25">
        <f>D42/(D40+D41+D42+D43+D44)</f>
        <v>0.22222222222222221</v>
      </c>
      <c r="K42" s="25">
        <f>E42/(E40+E41+E42+E43+E44)</f>
        <v>0.15789473684210528</v>
      </c>
      <c r="L42" s="25">
        <f>F42/(F40+F41+F42+F43+F44)</f>
        <v>0.18181818181818182</v>
      </c>
      <c r="N42" s="71">
        <f>(H42+I42+J42+K42+L42)/5</f>
        <v>0.21090919566418659</v>
      </c>
      <c r="O42" s="72"/>
    </row>
    <row r="43" spans="1:15" x14ac:dyDescent="0.3">
      <c r="A43" s="67" t="s">
        <v>25</v>
      </c>
      <c r="B43" s="26">
        <f>1/E40</f>
        <v>0.5</v>
      </c>
      <c r="C43" s="26">
        <f>1/E41</f>
        <v>0.5</v>
      </c>
      <c r="D43" s="26">
        <f>1/E42</f>
        <v>1</v>
      </c>
      <c r="E43" s="24">
        <v>1</v>
      </c>
      <c r="F43" s="25">
        <v>3</v>
      </c>
      <c r="H43" s="25">
        <f>B43/(B40+B41+B42+B43+B44)</f>
        <v>0.14285714285714285</v>
      </c>
      <c r="I43" s="25">
        <f>C43/(C40+C41+C42+C43+C44)</f>
        <v>0.10344827586206898</v>
      </c>
      <c r="J43" s="25">
        <f>D43/(D40+D41+D42+D43+D44)</f>
        <v>0.22222222222222221</v>
      </c>
      <c r="K43" s="25">
        <f>E43/(E40+E41+E42+E43+E44)</f>
        <v>0.15789473684210528</v>
      </c>
      <c r="L43" s="25">
        <f>F43/(F40+F41+F42+F43+F44)</f>
        <v>0.27272727272727271</v>
      </c>
      <c r="N43" s="71">
        <f>(H43+I43+J43+K43+L43)/5</f>
        <v>0.17982993010216242</v>
      </c>
      <c r="O43" s="72"/>
    </row>
    <row r="44" spans="1:15" x14ac:dyDescent="0.3">
      <c r="A44" s="67" t="s">
        <v>26</v>
      </c>
      <c r="B44" s="26">
        <f>1/F40</f>
        <v>0.5</v>
      </c>
      <c r="C44" s="26">
        <f>1/F41</f>
        <v>0.33333333333333331</v>
      </c>
      <c r="D44" s="26">
        <f>1/F42</f>
        <v>0.5</v>
      </c>
      <c r="E44" s="26">
        <f>1/F43</f>
        <v>0.33333333333333331</v>
      </c>
      <c r="F44" s="24">
        <v>1</v>
      </c>
      <c r="H44" s="25">
        <f>B44/(B40+B41+B42+B43+B44)</f>
        <v>0.14285714285714285</v>
      </c>
      <c r="I44" s="25">
        <f>C44/(C40+C41+C42+C43+C44)</f>
        <v>6.8965517241379309E-2</v>
      </c>
      <c r="J44" s="25">
        <f>D44/(D40+D41+D42+D43+D44)</f>
        <v>0.1111111111111111</v>
      </c>
      <c r="K44" s="25">
        <f>E44/(E40+E41+E42+E43+E44)</f>
        <v>5.2631578947368418E-2</v>
      </c>
      <c r="L44" s="25">
        <f>F44/(F40+F41+F42+F43+F44)</f>
        <v>9.0909090909090912E-2</v>
      </c>
      <c r="N44" s="71">
        <f>(H44+I44+J44+K44+L44)/5</f>
        <v>9.3294888213218519E-2</v>
      </c>
      <c r="O44" s="72"/>
    </row>
    <row r="45" spans="1:15" x14ac:dyDescent="0.3">
      <c r="A45" s="48" t="s">
        <v>16</v>
      </c>
      <c r="B45" s="48">
        <f>B40+B41+B42+B43+B44</f>
        <v>3.5</v>
      </c>
      <c r="C45" s="48">
        <f>C40+C41+C42+C43+C44</f>
        <v>4.833333333333333</v>
      </c>
      <c r="D45" s="48">
        <f>D40+D41+D42+D43+D44</f>
        <v>4.5</v>
      </c>
      <c r="E45" s="48">
        <f>E40+E41+E42+E43+E44</f>
        <v>6.333333333333333</v>
      </c>
      <c r="F45" s="48">
        <f>F40+F41+F42+F43+F44</f>
        <v>11</v>
      </c>
      <c r="H45" s="48">
        <f>H40+H41+H42+H43+H44</f>
        <v>0.99999999999999978</v>
      </c>
      <c r="I45" s="48">
        <f>I40+I41+I42+I43+I44</f>
        <v>1</v>
      </c>
      <c r="J45" s="48">
        <f>J40+J41+J42+J43+J44</f>
        <v>1</v>
      </c>
      <c r="K45" s="48">
        <f>K40+K41+K42+K43+K44</f>
        <v>1.0000000000000002</v>
      </c>
      <c r="L45" s="48">
        <f>L40+L41+L42+L43+L44</f>
        <v>1</v>
      </c>
      <c r="N45" s="69">
        <f>N40+N41+N42+N43+N44</f>
        <v>1</v>
      </c>
      <c r="O45" s="70"/>
    </row>
    <row r="47" spans="1:15" x14ac:dyDescent="0.3">
      <c r="A47" s="49" t="s">
        <v>31</v>
      </c>
      <c r="B47" s="50" t="s">
        <v>22</v>
      </c>
      <c r="C47" s="67" t="s">
        <v>23</v>
      </c>
      <c r="D47" s="67" t="s">
        <v>24</v>
      </c>
      <c r="E47" s="67" t="s">
        <v>25</v>
      </c>
      <c r="F47" s="67" t="s">
        <v>26</v>
      </c>
      <c r="H47" s="81" t="s">
        <v>27</v>
      </c>
      <c r="I47" s="81"/>
      <c r="J47" s="81"/>
      <c r="K47" s="81"/>
      <c r="L47" s="81"/>
      <c r="N47" s="69" t="s">
        <v>28</v>
      </c>
      <c r="O47" s="70"/>
    </row>
    <row r="48" spans="1:15" x14ac:dyDescent="0.3">
      <c r="A48" s="67" t="s">
        <v>22</v>
      </c>
      <c r="B48" s="24">
        <v>1</v>
      </c>
      <c r="C48" s="25">
        <v>2</v>
      </c>
      <c r="D48" s="25">
        <v>1</v>
      </c>
      <c r="E48" s="26">
        <v>2</v>
      </c>
      <c r="F48" s="25">
        <v>3</v>
      </c>
      <c r="H48" s="25">
        <f>B48/(B48+B49+B50+B51+B52)</f>
        <v>0.3</v>
      </c>
      <c r="I48" s="25">
        <f>C48/(C48+C49+C50+C51+C52)</f>
        <v>0.36363636363636365</v>
      </c>
      <c r="J48" s="25">
        <f>D48/(D48+D49+D50+D51+D52)</f>
        <v>0.23076923076923073</v>
      </c>
      <c r="K48" s="25">
        <f>E48/(E48+E49+E50+E51+E52)</f>
        <v>0.25</v>
      </c>
      <c r="L48" s="25">
        <f>F48/(F48+F49+F50+F51+F52)</f>
        <v>0.33333333333333331</v>
      </c>
      <c r="N48" s="71">
        <f>(H48+I48+J48+K48+L48)/5</f>
        <v>0.29554778554778555</v>
      </c>
      <c r="O48" s="72"/>
    </row>
    <row r="49" spans="1:15" x14ac:dyDescent="0.3">
      <c r="A49" s="67" t="s">
        <v>23</v>
      </c>
      <c r="B49" s="26">
        <f>1/C48</f>
        <v>0.5</v>
      </c>
      <c r="C49" s="24">
        <v>1</v>
      </c>
      <c r="D49" s="26">
        <v>1</v>
      </c>
      <c r="E49" s="25">
        <v>1</v>
      </c>
      <c r="F49" s="25">
        <v>2</v>
      </c>
      <c r="H49" s="25">
        <f>B49/(B48+B49+B50+B51+B52)</f>
        <v>0.15</v>
      </c>
      <c r="I49" s="25">
        <f>C49/(C48+C49+C50+C51+C52)</f>
        <v>0.18181818181818182</v>
      </c>
      <c r="J49" s="25">
        <f>D49/(D48+D49+D50+D51+D52)</f>
        <v>0.23076923076923073</v>
      </c>
      <c r="K49" s="25">
        <f>E49/(E48+E49+E50+E51+E52)</f>
        <v>0.125</v>
      </c>
      <c r="L49" s="25">
        <f>F49/(F48+F49+F50+F51+F52)</f>
        <v>0.22222222222222221</v>
      </c>
      <c r="N49" s="71">
        <f>(H49+I49+L49+K49+J49)/5</f>
        <v>0.18196192696192695</v>
      </c>
      <c r="O49" s="72"/>
    </row>
    <row r="50" spans="1:15" x14ac:dyDescent="0.3">
      <c r="A50" s="67" t="s">
        <v>24</v>
      </c>
      <c r="B50" s="26">
        <f>1/D48</f>
        <v>1</v>
      </c>
      <c r="C50" s="26">
        <f>1/D49</f>
        <v>1</v>
      </c>
      <c r="D50" s="24">
        <v>1</v>
      </c>
      <c r="E50" s="26">
        <v>3</v>
      </c>
      <c r="F50" s="25">
        <v>2</v>
      </c>
      <c r="H50" s="25">
        <f>B50/(B48+B49+B50+B51+B52)</f>
        <v>0.3</v>
      </c>
      <c r="I50" s="25">
        <f>C50/(C48+C49+C50+C51+C52)</f>
        <v>0.18181818181818182</v>
      </c>
      <c r="J50" s="25">
        <f>D50/(D48+D49+D50+D51+D52)</f>
        <v>0.23076923076923073</v>
      </c>
      <c r="K50" s="25">
        <f>E50/(E48+E49+E50+E51+E52)</f>
        <v>0.375</v>
      </c>
      <c r="L50" s="25">
        <f>F50/(F48+F49+F50+F51+F52)</f>
        <v>0.22222222222222221</v>
      </c>
      <c r="N50" s="71">
        <f>(H50+I50+J50+K50+L50)/5</f>
        <v>0.26196192696192694</v>
      </c>
      <c r="O50" s="72"/>
    </row>
    <row r="51" spans="1:15" x14ac:dyDescent="0.3">
      <c r="A51" s="67" t="s">
        <v>25</v>
      </c>
      <c r="B51" s="26">
        <f>1/E48</f>
        <v>0.5</v>
      </c>
      <c r="C51" s="26">
        <f>1/E49</f>
        <v>1</v>
      </c>
      <c r="D51" s="26">
        <f>1/E50</f>
        <v>0.33333333333333331</v>
      </c>
      <c r="E51" s="24">
        <v>1</v>
      </c>
      <c r="F51" s="26">
        <v>1</v>
      </c>
      <c r="H51" s="25">
        <f>B51/(B48+B49+B50+B51+B52)</f>
        <v>0.15</v>
      </c>
      <c r="I51" s="25">
        <f>C51/(C48+C49+C50+C51+C52)</f>
        <v>0.18181818181818182</v>
      </c>
      <c r="J51" s="25">
        <f>D51/(D48+D49+D50+D51+D52)</f>
        <v>7.6923076923076913E-2</v>
      </c>
      <c r="K51" s="25">
        <f>E51/(E48+E49+E50+E51+E52)</f>
        <v>0.125</v>
      </c>
      <c r="L51" s="25">
        <f>F51/(F48+F49+F50+F51+F52)</f>
        <v>0.1111111111111111</v>
      </c>
      <c r="N51" s="71">
        <f>(H51+I51+J51+K51+L51)/5</f>
        <v>0.12897047397047395</v>
      </c>
      <c r="O51" s="72"/>
    </row>
    <row r="52" spans="1:15" x14ac:dyDescent="0.3">
      <c r="A52" s="28" t="s">
        <v>26</v>
      </c>
      <c r="B52" s="30">
        <f>1/F48</f>
        <v>0.33333333333333331</v>
      </c>
      <c r="C52" s="30">
        <f>1/F49</f>
        <v>0.5</v>
      </c>
      <c r="D52" s="30">
        <f>1/F51</f>
        <v>1</v>
      </c>
      <c r="E52" s="30">
        <f>1/F51</f>
        <v>1</v>
      </c>
      <c r="F52" s="31">
        <v>1</v>
      </c>
      <c r="H52" s="25">
        <f>B52/(B48+B49+B50+B51+B52)</f>
        <v>9.9999999999999992E-2</v>
      </c>
      <c r="I52" s="25">
        <f>C52/(C48+C49+C50+C51+C52)</f>
        <v>9.0909090909090912E-2</v>
      </c>
      <c r="J52" s="25">
        <f>D52/(D48+D49+D50+D51+D52)</f>
        <v>0.23076923076923073</v>
      </c>
      <c r="K52" s="25">
        <f>E52/(E48+E49+E50+E51+E52)</f>
        <v>0.125</v>
      </c>
      <c r="L52" s="25">
        <f>F52/(F48+F49+F50+F51+F52)</f>
        <v>0.1111111111111111</v>
      </c>
      <c r="N52" s="71">
        <f>(H52+I52+J52+K52+L52)/5</f>
        <v>0.13155788655788653</v>
      </c>
      <c r="O52" s="72"/>
    </row>
    <row r="53" spans="1:15" x14ac:dyDescent="0.3">
      <c r="A53" s="48" t="s">
        <v>16</v>
      </c>
      <c r="B53" s="48">
        <f>B48+B49+B50+B51+B52</f>
        <v>3.3333333333333335</v>
      </c>
      <c r="C53" s="48">
        <f>C48+C49+C50+C51+C52</f>
        <v>5.5</v>
      </c>
      <c r="D53" s="48">
        <f>D48+D49+D50+D51+D52</f>
        <v>4.3333333333333339</v>
      </c>
      <c r="E53" s="48">
        <f>E48+E49+E50+E51+E52</f>
        <v>8</v>
      </c>
      <c r="F53" s="48">
        <f>F48+F49+F50+F51+F52</f>
        <v>9</v>
      </c>
      <c r="H53" s="48">
        <f>H48+H49+H50+H51+H52</f>
        <v>1</v>
      </c>
      <c r="I53" s="48">
        <f>I48+I49+I50+I51+I52</f>
        <v>1</v>
      </c>
      <c r="J53" s="48">
        <f>J48+J49+J50+J51+J52</f>
        <v>0.99999999999999978</v>
      </c>
      <c r="K53" s="48">
        <f>K48+K49+K50+K51+K52</f>
        <v>1</v>
      </c>
      <c r="L53" s="48">
        <f>L48+L49+L50+L51+L52</f>
        <v>1</v>
      </c>
      <c r="N53" s="69">
        <f>N48+N49+N50+N51+N52</f>
        <v>1</v>
      </c>
      <c r="O53" s="70"/>
    </row>
    <row r="55" spans="1:15" x14ac:dyDescent="0.3">
      <c r="A55" s="23" t="s">
        <v>32</v>
      </c>
      <c r="B55" s="67" t="s">
        <v>22</v>
      </c>
      <c r="C55" s="67" t="s">
        <v>23</v>
      </c>
      <c r="D55" s="67" t="s">
        <v>24</v>
      </c>
      <c r="E55" s="67" t="s">
        <v>25</v>
      </c>
      <c r="F55" s="67" t="s">
        <v>26</v>
      </c>
      <c r="H55" s="73" t="s">
        <v>27</v>
      </c>
      <c r="I55" s="74"/>
      <c r="J55" s="74"/>
      <c r="K55" s="74"/>
      <c r="L55" s="75"/>
      <c r="N55" s="69" t="s">
        <v>28</v>
      </c>
      <c r="O55" s="70"/>
    </row>
    <row r="56" spans="1:15" x14ac:dyDescent="0.3">
      <c r="A56" s="67" t="s">
        <v>22</v>
      </c>
      <c r="B56" s="24">
        <v>1</v>
      </c>
      <c r="C56" s="26">
        <v>2</v>
      </c>
      <c r="D56" s="25">
        <v>1</v>
      </c>
      <c r="E56" s="25">
        <v>2</v>
      </c>
      <c r="F56" s="26">
        <v>3</v>
      </c>
      <c r="H56" s="25">
        <f>B56/(B56+B57+B58+B59+B60)</f>
        <v>0.3</v>
      </c>
      <c r="I56" s="25">
        <f>C56/(C56+C57+C58+C59+C60)</f>
        <v>0.4</v>
      </c>
      <c r="J56" s="25">
        <f>D56/(D56+D57+D58+D59+D60)</f>
        <v>0.20689655172413796</v>
      </c>
      <c r="K56" s="25">
        <f>E56/(E56+E57+E58+E59+E60)</f>
        <v>0.25</v>
      </c>
      <c r="L56" s="25">
        <f>F56/(F56+F57+F58+F59+F60)</f>
        <v>0.33333333333333331</v>
      </c>
      <c r="N56" s="71">
        <f>(H56+I56+J56+K56+L56)/5</f>
        <v>0.29804597701149421</v>
      </c>
      <c r="O56" s="72"/>
    </row>
    <row r="57" spans="1:15" x14ac:dyDescent="0.3">
      <c r="A57" s="67" t="s">
        <v>23</v>
      </c>
      <c r="B57" s="26">
        <f>1/C56</f>
        <v>0.5</v>
      </c>
      <c r="C57" s="24">
        <v>1</v>
      </c>
      <c r="D57" s="25">
        <v>2</v>
      </c>
      <c r="E57" s="26">
        <v>1</v>
      </c>
      <c r="F57" s="25">
        <v>2</v>
      </c>
      <c r="H57" s="25">
        <f>B57/(B56+B57+B58+B59+B60)</f>
        <v>0.15</v>
      </c>
      <c r="I57" s="25">
        <f>C57/(C56+C57+C58+C59+C60)</f>
        <v>0.2</v>
      </c>
      <c r="J57" s="25">
        <f>D57/(D56+D57+D58+D59+D60)</f>
        <v>0.41379310344827591</v>
      </c>
      <c r="K57" s="25">
        <f>E57/(E56+E57+E58+E59+E60)</f>
        <v>0.125</v>
      </c>
      <c r="L57" s="25">
        <f>F57/(F56+F57+F58+F59+F60)</f>
        <v>0.22222222222222221</v>
      </c>
      <c r="N57" s="71">
        <f>(H57+I57+J57+K57+L57)/5</f>
        <v>0.22220306513409965</v>
      </c>
      <c r="O57" s="72"/>
    </row>
    <row r="58" spans="1:15" x14ac:dyDescent="0.3">
      <c r="A58" s="67" t="s">
        <v>24</v>
      </c>
      <c r="B58" s="26">
        <f>1/D56</f>
        <v>1</v>
      </c>
      <c r="C58" s="26">
        <f>1/D57</f>
        <v>0.5</v>
      </c>
      <c r="D58" s="24">
        <v>1</v>
      </c>
      <c r="E58" s="26">
        <v>3</v>
      </c>
      <c r="F58" s="25">
        <v>2</v>
      </c>
      <c r="H58" s="25">
        <f>B58/(B56+B57+B58+B59+B60)</f>
        <v>0.3</v>
      </c>
      <c r="I58" s="25">
        <f>C58/(C56+C57+C58+C59+C60)</f>
        <v>0.1</v>
      </c>
      <c r="J58" s="25">
        <f>D58/(D56+D57+D58+D59+D60)</f>
        <v>0.20689655172413796</v>
      </c>
      <c r="K58" s="25">
        <f>E58/(E56+E57+E58+E59+E60)</f>
        <v>0.375</v>
      </c>
      <c r="L58" s="25">
        <f>F58/(F56+F57+F58+F59+F60)</f>
        <v>0.22222222222222221</v>
      </c>
      <c r="N58" s="71">
        <f>(H58+I58+J58+K58+L58)/5</f>
        <v>0.24082375478927204</v>
      </c>
      <c r="O58" s="72"/>
    </row>
    <row r="59" spans="1:15" x14ac:dyDescent="0.3">
      <c r="A59" s="67" t="s">
        <v>25</v>
      </c>
      <c r="B59" s="26">
        <f>1/E56</f>
        <v>0.5</v>
      </c>
      <c r="C59" s="26">
        <f>1/E57</f>
        <v>1</v>
      </c>
      <c r="D59" s="26">
        <f>1/E58</f>
        <v>0.33333333333333331</v>
      </c>
      <c r="E59" s="24">
        <v>1</v>
      </c>
      <c r="F59" s="25">
        <v>1</v>
      </c>
      <c r="H59" s="25">
        <f>B59/(B56+B57+B58+B59+B60)</f>
        <v>0.15</v>
      </c>
      <c r="I59" s="25">
        <f>C59/(C56+C57+C58+C59+C60)</f>
        <v>0.2</v>
      </c>
      <c r="J59" s="25">
        <f>D59/(D56+D57+D58+D59+D60)</f>
        <v>6.8965517241379309E-2</v>
      </c>
      <c r="K59" s="25">
        <f>E59/(E56+E57+E58+E59+E60)</f>
        <v>0.125</v>
      </c>
      <c r="L59" s="25">
        <f>F59/(F56+F57+F58+F59+F60)</f>
        <v>0.1111111111111111</v>
      </c>
      <c r="N59" s="71">
        <f>(H59+I59+J59+K59+L59)/5</f>
        <v>0.13101532567049809</v>
      </c>
      <c r="O59" s="72"/>
    </row>
    <row r="60" spans="1:15" x14ac:dyDescent="0.3">
      <c r="A60" s="67" t="s">
        <v>26</v>
      </c>
      <c r="B60" s="26">
        <f>1/F56</f>
        <v>0.33333333333333331</v>
      </c>
      <c r="C60" s="26">
        <f>1/F57</f>
        <v>0.5</v>
      </c>
      <c r="D60" s="26">
        <f>1/F58</f>
        <v>0.5</v>
      </c>
      <c r="E60" s="26">
        <f>1/F59</f>
        <v>1</v>
      </c>
      <c r="F60" s="24">
        <v>1</v>
      </c>
      <c r="H60" s="25">
        <f>B60/(B56+B57+B58+B59+B60)</f>
        <v>9.9999999999999992E-2</v>
      </c>
      <c r="I60" s="25">
        <f>C60/(C56+C57+C58+C59+C60)</f>
        <v>0.1</v>
      </c>
      <c r="J60" s="25">
        <f>D60/(D56+D57+D58+D59+D60)</f>
        <v>0.10344827586206898</v>
      </c>
      <c r="K60" s="25">
        <f>E60/(E56+E57+E58+E59+E60)</f>
        <v>0.125</v>
      </c>
      <c r="L60" s="25">
        <f>F60/(F56+F57+F58+F59+F60)</f>
        <v>0.1111111111111111</v>
      </c>
      <c r="N60" s="71">
        <f>(H60+I60+J60+K60+L60)/5</f>
        <v>0.10791187739463601</v>
      </c>
      <c r="O60" s="72"/>
    </row>
    <row r="61" spans="1:15" x14ac:dyDescent="0.3">
      <c r="A61" s="48" t="s">
        <v>16</v>
      </c>
      <c r="B61" s="48">
        <f>B56+B57+B58+B59+B60</f>
        <v>3.3333333333333335</v>
      </c>
      <c r="C61" s="48">
        <f>C56+C57+C58+C59+C60</f>
        <v>5</v>
      </c>
      <c r="D61" s="48">
        <f>D56+D57+D58+D59+D60</f>
        <v>4.833333333333333</v>
      </c>
      <c r="E61" s="48">
        <f>E56+E57+E58+E59+E60</f>
        <v>8</v>
      </c>
      <c r="F61" s="48">
        <f>F56+F57+F58+F59+F60</f>
        <v>9</v>
      </c>
      <c r="H61" s="48">
        <f>H56+H57+H58+H59+H60</f>
        <v>1</v>
      </c>
      <c r="I61" s="48">
        <f>I56+I57+I58+I59+I60</f>
        <v>1.0000000000000002</v>
      </c>
      <c r="J61" s="48">
        <f>J56+J57+J58+J59+J60</f>
        <v>1.0000000000000002</v>
      </c>
      <c r="K61" s="48">
        <f>K56+K57+K58+K59+K60</f>
        <v>1</v>
      </c>
      <c r="L61" s="48">
        <f>L56+L57+L58+L59+L60</f>
        <v>1</v>
      </c>
      <c r="N61" s="69">
        <f>N56+N57+N58+N59+N60</f>
        <v>1</v>
      </c>
      <c r="O61" s="70"/>
    </row>
    <row r="62" spans="1:15" x14ac:dyDescent="0.3">
      <c r="I62" s="47"/>
    </row>
    <row r="63" spans="1:15" x14ac:dyDescent="0.3">
      <c r="A63" s="23" t="s">
        <v>33</v>
      </c>
      <c r="B63" s="67" t="s">
        <v>22</v>
      </c>
      <c r="C63" s="67" t="s">
        <v>23</v>
      </c>
      <c r="D63" s="67" t="s">
        <v>24</v>
      </c>
      <c r="E63" s="67" t="s">
        <v>25</v>
      </c>
      <c r="F63" s="67" t="s">
        <v>26</v>
      </c>
      <c r="H63" s="73" t="s">
        <v>27</v>
      </c>
      <c r="I63" s="74"/>
      <c r="J63" s="74"/>
      <c r="K63" s="74"/>
      <c r="L63" s="75"/>
      <c r="N63" s="69" t="s">
        <v>28</v>
      </c>
      <c r="O63" s="70"/>
    </row>
    <row r="64" spans="1:15" x14ac:dyDescent="0.3">
      <c r="A64" s="67" t="s">
        <v>22</v>
      </c>
      <c r="B64" s="24">
        <v>1</v>
      </c>
      <c r="C64" s="25">
        <v>2</v>
      </c>
      <c r="D64" s="25">
        <v>3</v>
      </c>
      <c r="E64" s="26">
        <v>4</v>
      </c>
      <c r="F64" s="26">
        <v>2</v>
      </c>
      <c r="H64" s="25">
        <f>B64/(B64+B65+B66+B67+B68)</f>
        <v>0.38709677419354843</v>
      </c>
      <c r="I64" s="25">
        <f>C64/(C64+C65+C66+C67+C68)</f>
        <v>0.36363636363636365</v>
      </c>
      <c r="J64" s="25">
        <f>D64/(D64+D65+D66+D67+D68)</f>
        <v>0.51428571428571435</v>
      </c>
      <c r="K64" s="25">
        <f>E64/(E64+E65+E66+E67+E68)</f>
        <v>0.42105263157894735</v>
      </c>
      <c r="L64" s="25">
        <f>F64/(F64+F65+F66+F67+F68)</f>
        <v>0.22222222222222221</v>
      </c>
      <c r="N64" s="71">
        <f>(H64+I64+J64+K64+L64)/5</f>
        <v>0.38165874118335924</v>
      </c>
      <c r="O64" s="72"/>
    </row>
    <row r="65" spans="1:15" x14ac:dyDescent="0.3">
      <c r="A65" s="67" t="s">
        <v>23</v>
      </c>
      <c r="B65" s="26">
        <f>1/C64</f>
        <v>0.5</v>
      </c>
      <c r="C65" s="24">
        <v>1</v>
      </c>
      <c r="D65" s="25">
        <v>1</v>
      </c>
      <c r="E65" s="25">
        <v>2</v>
      </c>
      <c r="F65" s="25">
        <v>1</v>
      </c>
      <c r="H65" s="25">
        <f>B65/(B64+B65+B66+B67+B68)</f>
        <v>0.19354838709677422</v>
      </c>
      <c r="I65" s="25">
        <f>C65/(C64+C65+C66+C67+C68)</f>
        <v>0.18181818181818182</v>
      </c>
      <c r="J65" s="25">
        <f>D65/(D64+D65+D66+D67+D68)</f>
        <v>0.17142857142857143</v>
      </c>
      <c r="K65" s="25">
        <f>E65/(E64+E65+E66+E67+E68)</f>
        <v>0.21052631578947367</v>
      </c>
      <c r="L65" s="25">
        <f>F65/(F64+F65+F66+F67+F68)</f>
        <v>0.1111111111111111</v>
      </c>
      <c r="N65" s="71">
        <f>(H65+I65+J65+K65+L65)/5</f>
        <v>0.17368651344882244</v>
      </c>
      <c r="O65" s="72"/>
    </row>
    <row r="66" spans="1:15" x14ac:dyDescent="0.3">
      <c r="A66" s="67" t="s">
        <v>24</v>
      </c>
      <c r="B66" s="26">
        <f>1/D64</f>
        <v>0.33333333333333331</v>
      </c>
      <c r="C66" s="26">
        <f>1/D65</f>
        <v>1</v>
      </c>
      <c r="D66" s="24">
        <v>1</v>
      </c>
      <c r="E66" s="25">
        <v>2</v>
      </c>
      <c r="F66" s="26">
        <v>3</v>
      </c>
      <c r="H66" s="25">
        <f>B66/(B64+B65+B66+B67+B68)</f>
        <v>0.12903225806451613</v>
      </c>
      <c r="I66" s="25">
        <f>C66/(C64+C65+C66+C67+C68)</f>
        <v>0.18181818181818182</v>
      </c>
      <c r="J66" s="25">
        <f>D66/(D64+D65+D66+D67+D68)</f>
        <v>0.17142857142857143</v>
      </c>
      <c r="K66" s="25">
        <f>E66/(E64+E65+E66+E67+E68)</f>
        <v>0.21052631578947367</v>
      </c>
      <c r="L66" s="25">
        <f>F66/(F64+F65+F66+F67+F68)</f>
        <v>0.33333333333333331</v>
      </c>
      <c r="N66" s="71">
        <f>(H66+I66+J66+K66+L66)/5</f>
        <v>0.20522773208681527</v>
      </c>
      <c r="O66" s="72"/>
    </row>
    <row r="67" spans="1:15" x14ac:dyDescent="0.3">
      <c r="A67" s="67" t="s">
        <v>25</v>
      </c>
      <c r="B67" s="26">
        <f>1/E64</f>
        <v>0.25</v>
      </c>
      <c r="C67" s="26">
        <f>1/E65</f>
        <v>0.5</v>
      </c>
      <c r="D67" s="26">
        <f>1/E66</f>
        <v>0.5</v>
      </c>
      <c r="E67" s="24">
        <v>1</v>
      </c>
      <c r="F67" s="25">
        <v>2</v>
      </c>
      <c r="H67" s="25">
        <f>B67/(B64+B65+B66+B67+B68)</f>
        <v>9.6774193548387108E-2</v>
      </c>
      <c r="I67" s="25">
        <f>C67/(C64+C65+C66+C67+C68)</f>
        <v>9.0909090909090912E-2</v>
      </c>
      <c r="J67" s="25">
        <f>D67/(D64+D65+D66+D67+D68)</f>
        <v>8.5714285714285715E-2</v>
      </c>
      <c r="K67" s="25">
        <f>E67/(E64+E65+E66+E67+E68)</f>
        <v>0.10526315789473684</v>
      </c>
      <c r="L67" s="25">
        <f>F67/(F64+F65+F66+F67+F68)</f>
        <v>0.22222222222222221</v>
      </c>
      <c r="N67" s="71">
        <f>(H67+I67+J67+K67+L67)/5</f>
        <v>0.12017659005774455</v>
      </c>
      <c r="O67" s="72"/>
    </row>
    <row r="68" spans="1:15" x14ac:dyDescent="0.3">
      <c r="A68" s="67" t="s">
        <v>26</v>
      </c>
      <c r="B68" s="26">
        <f>1/F64</f>
        <v>0.5</v>
      </c>
      <c r="C68" s="26">
        <f>1/F65</f>
        <v>1</v>
      </c>
      <c r="D68" s="26">
        <f>1/F66</f>
        <v>0.33333333333333331</v>
      </c>
      <c r="E68" s="26">
        <f>1/F67</f>
        <v>0.5</v>
      </c>
      <c r="F68" s="24">
        <v>1</v>
      </c>
      <c r="H68" s="25">
        <f>B68/(B64+B65+B66+B67+B68)</f>
        <v>0.19354838709677422</v>
      </c>
      <c r="I68" s="25">
        <f>C68/(C64+C65+C66+C67+C68)</f>
        <v>0.18181818181818182</v>
      </c>
      <c r="J68" s="25">
        <f>D68/(D64+D65+D66+D67+D68)</f>
        <v>5.7142857142857141E-2</v>
      </c>
      <c r="K68" s="25">
        <f>E68/(E64+E65+E66+E67+E68)</f>
        <v>5.2631578947368418E-2</v>
      </c>
      <c r="L68" s="25">
        <f>F68/(F64+F65+F66+F67+F68)</f>
        <v>0.1111111111111111</v>
      </c>
      <c r="N68" s="71">
        <f>(H68+I68+J68+K68+L68)/5</f>
        <v>0.11925042322325854</v>
      </c>
      <c r="O68" s="72"/>
    </row>
    <row r="69" spans="1:15" x14ac:dyDescent="0.3">
      <c r="A69" s="48" t="s">
        <v>16</v>
      </c>
      <c r="B69" s="48">
        <f>B64+B65+B66+B67+B68</f>
        <v>2.583333333333333</v>
      </c>
      <c r="C69" s="48">
        <f>C64+C65+C66+C67+C68</f>
        <v>5.5</v>
      </c>
      <c r="D69" s="48">
        <f>D64+D65+D66+D67+D68</f>
        <v>5.833333333333333</v>
      </c>
      <c r="E69" s="48">
        <f>E64+E65+E66+E67+E68</f>
        <v>9.5</v>
      </c>
      <c r="F69" s="48">
        <f>F64+F65+F66+F67+F68</f>
        <v>9</v>
      </c>
      <c r="H69" s="48">
        <f>H64+H65+H66+H67+H68</f>
        <v>1</v>
      </c>
      <c r="I69" s="48">
        <f>I64+I65+I66+I67+I68</f>
        <v>1</v>
      </c>
      <c r="J69" s="48">
        <f>J64+J65+J66+J67+J68</f>
        <v>1</v>
      </c>
      <c r="K69" s="48">
        <f>K64+K65+K66+K67+K68</f>
        <v>1</v>
      </c>
      <c r="L69" s="48">
        <f>L64+L65+L66+L67+L68</f>
        <v>1</v>
      </c>
      <c r="N69" s="69">
        <f>N64+N65+N66+N67+N68</f>
        <v>1</v>
      </c>
      <c r="O69" s="70"/>
    </row>
    <row r="70" spans="1:15" x14ac:dyDescent="0.3">
      <c r="A70" s="36"/>
      <c r="B70" s="37"/>
      <c r="C70" s="37"/>
      <c r="D70" s="37"/>
      <c r="E70" s="38"/>
      <c r="F70" s="39"/>
    </row>
    <row r="71" spans="1:15" x14ac:dyDescent="0.3">
      <c r="A71" s="40" t="s">
        <v>34</v>
      </c>
      <c r="B71" s="41" t="s">
        <v>22</v>
      </c>
      <c r="C71" s="41" t="s">
        <v>23</v>
      </c>
      <c r="D71" s="41" t="s">
        <v>24</v>
      </c>
      <c r="E71" s="42" t="s">
        <v>25</v>
      </c>
      <c r="F71" s="41" t="s">
        <v>26</v>
      </c>
      <c r="H71" s="73" t="s">
        <v>27</v>
      </c>
      <c r="I71" s="74"/>
      <c r="J71" s="74"/>
      <c r="K71" s="74"/>
      <c r="L71" s="75"/>
      <c r="N71" s="69" t="s">
        <v>28</v>
      </c>
      <c r="O71" s="70"/>
    </row>
    <row r="72" spans="1:15" x14ac:dyDescent="0.3">
      <c r="A72" s="67" t="s">
        <v>22</v>
      </c>
      <c r="B72" s="24">
        <v>1</v>
      </c>
      <c r="C72" s="25">
        <v>1</v>
      </c>
      <c r="D72" s="43">
        <v>2</v>
      </c>
      <c r="E72" s="25">
        <v>3</v>
      </c>
      <c r="F72" s="44">
        <v>2</v>
      </c>
      <c r="H72" s="25">
        <f>B72/(B72+B73+B74+B75+B76)</f>
        <v>0.3</v>
      </c>
      <c r="I72" s="25">
        <f>C72/(C72+C73+C74+C75+C76)</f>
        <v>0.27906976744186046</v>
      </c>
      <c r="J72" s="25">
        <f>D72/(D72+D73+D74+D75+D76)</f>
        <v>0.36363636363636365</v>
      </c>
      <c r="K72" s="25">
        <f>E72/(E72+E73+E74+E75+E76)</f>
        <v>0.31578947368421051</v>
      </c>
      <c r="L72" s="25">
        <f>F72/(F72+F73+F74+F75+F76)</f>
        <v>0.2</v>
      </c>
      <c r="N72" s="71">
        <f>(H72+I72+J72+K72+L72)/5</f>
        <v>0.29169912095248696</v>
      </c>
      <c r="O72" s="72"/>
    </row>
    <row r="73" spans="1:15" x14ac:dyDescent="0.3">
      <c r="A73" s="67" t="s">
        <v>23</v>
      </c>
      <c r="B73" s="26">
        <f>1/C72</f>
        <v>1</v>
      </c>
      <c r="C73" s="24">
        <v>1</v>
      </c>
      <c r="D73" s="25">
        <v>1</v>
      </c>
      <c r="E73" s="26">
        <v>3</v>
      </c>
      <c r="F73" s="26">
        <v>4</v>
      </c>
      <c r="H73" s="25">
        <f>B73/(B72+B73+B74+B75+B76)</f>
        <v>0.3</v>
      </c>
      <c r="I73" s="25">
        <f>C73/(C72+C73+C74+C75+C76)</f>
        <v>0.27906976744186046</v>
      </c>
      <c r="J73" s="25">
        <f>D73/(D72+D73+D74+D75+D76)</f>
        <v>0.18181818181818182</v>
      </c>
      <c r="K73" s="25">
        <f>E73/(E72+E73+E74+E75+E76)</f>
        <v>0.31578947368421051</v>
      </c>
      <c r="L73" s="25">
        <f>F73/(F72+F73+F74+F75+F76)</f>
        <v>0.4</v>
      </c>
      <c r="N73" s="71">
        <f>(H73+I73+J73+K73+L73)/5</f>
        <v>0.29533548458885051</v>
      </c>
      <c r="O73" s="72"/>
    </row>
    <row r="74" spans="1:15" x14ac:dyDescent="0.3">
      <c r="A74" s="67" t="s">
        <v>24</v>
      </c>
      <c r="B74" s="26">
        <f>1/D72</f>
        <v>0.5</v>
      </c>
      <c r="C74" s="26">
        <f>1/D73</f>
        <v>1</v>
      </c>
      <c r="D74" s="24">
        <v>1</v>
      </c>
      <c r="E74" s="25">
        <v>2</v>
      </c>
      <c r="F74" s="25">
        <v>1</v>
      </c>
      <c r="H74" s="25">
        <f>B74/(B72+B73+B74+B75+B76)</f>
        <v>0.15</v>
      </c>
      <c r="I74" s="25">
        <f>C74/(C72+C73+C74+C75+C76)</f>
        <v>0.27906976744186046</v>
      </c>
      <c r="J74" s="25">
        <f>D74/(D72+D73+D74+D75+D76)</f>
        <v>0.18181818181818182</v>
      </c>
      <c r="K74" s="25">
        <f>E74/(E72+E73+E74+E75+E76)</f>
        <v>0.21052631578947367</v>
      </c>
      <c r="L74" s="25">
        <f>F74/(F72+F73+F74+F75+F76)</f>
        <v>0.1</v>
      </c>
      <c r="N74" s="71">
        <f>(H74+I74+J74+K74+L74)/5</f>
        <v>0.18428285300990319</v>
      </c>
      <c r="O74" s="72"/>
    </row>
    <row r="75" spans="1:15" x14ac:dyDescent="0.3">
      <c r="A75" s="67" t="s">
        <v>25</v>
      </c>
      <c r="B75" s="26">
        <f>1/E72</f>
        <v>0.33333333333333331</v>
      </c>
      <c r="C75" s="26">
        <f>1/E73</f>
        <v>0.33333333333333331</v>
      </c>
      <c r="D75" s="26">
        <f>1/E74</f>
        <v>0.5</v>
      </c>
      <c r="E75" s="24">
        <v>1</v>
      </c>
      <c r="F75" s="25">
        <v>2</v>
      </c>
      <c r="H75" s="25">
        <f>B75/(B72+B73+B74+B75+B76)</f>
        <v>9.9999999999999992E-2</v>
      </c>
      <c r="I75" s="25">
        <f>C75/(C72+C73+C74+C75+C76)</f>
        <v>9.3023255813953473E-2</v>
      </c>
      <c r="J75" s="25">
        <f>D75/(D72+D73+D74+D75+D76)</f>
        <v>9.0909090909090912E-2</v>
      </c>
      <c r="K75" s="25">
        <f>E75/(E72+E73+E74+E75+E76)</f>
        <v>0.10526315789473684</v>
      </c>
      <c r="L75" s="25">
        <f>F75/(F72+F73+F74+F75+F76)</f>
        <v>0.2</v>
      </c>
      <c r="N75" s="71">
        <f>(H75+I75+J75+K75+L75)/5</f>
        <v>0.11783910092355625</v>
      </c>
      <c r="O75" s="72"/>
    </row>
    <row r="76" spans="1:15" x14ac:dyDescent="0.3">
      <c r="A76" s="28" t="s">
        <v>26</v>
      </c>
      <c r="B76" s="30">
        <f>1/F72</f>
        <v>0.5</v>
      </c>
      <c r="C76" s="30">
        <f>1/F73</f>
        <v>0.25</v>
      </c>
      <c r="D76" s="30">
        <f>1/F74</f>
        <v>1</v>
      </c>
      <c r="E76" s="30">
        <f>1/F75</f>
        <v>0.5</v>
      </c>
      <c r="F76" s="31">
        <v>1</v>
      </c>
      <c r="H76" s="25">
        <f>B76/(B72+B73+B74+B75+B76)</f>
        <v>0.15</v>
      </c>
      <c r="I76" s="25">
        <f>C76/(C72+C73+C74+C75+C76)</f>
        <v>6.9767441860465115E-2</v>
      </c>
      <c r="J76" s="25">
        <f>D76/(D72+D73+D74+D75+D76)</f>
        <v>0.18181818181818182</v>
      </c>
      <c r="K76" s="25">
        <f>E76/(E72+E73+E74+E75+E76)</f>
        <v>5.2631578947368418E-2</v>
      </c>
      <c r="L76" s="25">
        <f>F76/(F72+F73+F74+F75+F76)</f>
        <v>0.1</v>
      </c>
      <c r="N76" s="71">
        <f>(H76+I76+J76+K76+L76)/5</f>
        <v>0.11084344052520308</v>
      </c>
      <c r="O76" s="72"/>
    </row>
    <row r="77" spans="1:15" x14ac:dyDescent="0.3">
      <c r="A77" s="17" t="s">
        <v>16</v>
      </c>
      <c r="B77" s="45">
        <f>B72+B73+B74+B75+B76</f>
        <v>3.3333333333333335</v>
      </c>
      <c r="C77" s="45">
        <f>C72+C73+C74+C75+C76</f>
        <v>3.5833333333333335</v>
      </c>
      <c r="D77" s="45">
        <f>D72+D73+D74+D75+D76</f>
        <v>5.5</v>
      </c>
      <c r="E77" s="46">
        <f>E72+E73+E74+E75+E76</f>
        <v>9.5</v>
      </c>
      <c r="F77" s="17">
        <f>F72+F73+F74+F75+F76</f>
        <v>10</v>
      </c>
      <c r="H77" s="17">
        <f>H72+H73+H74+H75+H76</f>
        <v>1</v>
      </c>
      <c r="I77" s="17">
        <f>I72+I73+I74+I75+I76</f>
        <v>0.99999999999999989</v>
      </c>
      <c r="J77" s="17">
        <f>J72+J73+J74+J75+J76</f>
        <v>1</v>
      </c>
      <c r="K77" s="17">
        <f>K72+K73+K74+K75+K76</f>
        <v>1</v>
      </c>
      <c r="L77" s="17">
        <f>L72+L73+L74+L75+L76</f>
        <v>1.0000000000000002</v>
      </c>
      <c r="N77" s="69">
        <f>N72+N73+N74+N75+N76</f>
        <v>1</v>
      </c>
      <c r="O77" s="70"/>
    </row>
    <row r="81" spans="1:19" ht="17.399999999999999" x14ac:dyDescent="0.3">
      <c r="A81" s="25"/>
      <c r="B81" s="2" t="s">
        <v>1</v>
      </c>
      <c r="C81" s="2" t="s">
        <v>2</v>
      </c>
      <c r="D81" s="2" t="s">
        <v>3</v>
      </c>
      <c r="E81" s="2" t="s">
        <v>4</v>
      </c>
      <c r="F81" s="2" t="s">
        <v>5</v>
      </c>
      <c r="G81" s="2" t="s">
        <v>6</v>
      </c>
      <c r="H81" s="2" t="s">
        <v>7</v>
      </c>
      <c r="I81" s="21" t="s">
        <v>35</v>
      </c>
      <c r="L81" s="21" t="s">
        <v>35</v>
      </c>
      <c r="M81" s="61" t="s">
        <v>45</v>
      </c>
      <c r="R81" s="51" t="s">
        <v>0</v>
      </c>
    </row>
    <row r="82" spans="1:19" x14ac:dyDescent="0.3">
      <c r="A82" s="67" t="s">
        <v>22</v>
      </c>
      <c r="B82" s="52">
        <f>N24</f>
        <v>0.29823451910408433</v>
      </c>
      <c r="C82" s="52">
        <f>N32</f>
        <v>0.29399209486166006</v>
      </c>
      <c r="D82" s="52">
        <f>N40</f>
        <v>0.28386745337743524</v>
      </c>
      <c r="E82" s="52">
        <f>N48</f>
        <v>0.29554778554778555</v>
      </c>
      <c r="F82" s="52">
        <f>N56</f>
        <v>0.29804597701149421</v>
      </c>
      <c r="G82" s="52">
        <f>N64</f>
        <v>0.38165874118335924</v>
      </c>
      <c r="H82" s="52">
        <f>N72</f>
        <v>0.29169912095248696</v>
      </c>
      <c r="I82" s="22">
        <f>(B82*J13)+(C82*J14)+(D82*J15)+(E82*J16)+(F82*J17)+(G82*J18)+(H82*J19)</f>
        <v>0.30353741776873489</v>
      </c>
      <c r="L82" s="22">
        <f>(B82*J13)+(C82*J14)+(D82*J15)+(E82*J16)+(F82*J17)+(G82*J18)+(H82*J19)</f>
        <v>0.30353741776873489</v>
      </c>
      <c r="M82" s="67" t="s">
        <v>22</v>
      </c>
      <c r="R82" s="2" t="s">
        <v>9</v>
      </c>
      <c r="S82" s="53">
        <f t="shared" ref="S82:S88" si="13">J13</f>
        <v>0.22052498749915633</v>
      </c>
    </row>
    <row r="83" spans="1:19" x14ac:dyDescent="0.3">
      <c r="A83" s="67" t="s">
        <v>23</v>
      </c>
      <c r="B83" s="52">
        <f>N25</f>
        <v>0.19187088274044795</v>
      </c>
      <c r="C83" s="52">
        <f>N33</f>
        <v>0.25762845849802374</v>
      </c>
      <c r="D83" s="52">
        <f>N41</f>
        <v>0.23209853264299726</v>
      </c>
      <c r="E83" s="52">
        <f>N49</f>
        <v>0.18196192696192695</v>
      </c>
      <c r="F83" s="52">
        <f>N57</f>
        <v>0.22220306513409965</v>
      </c>
      <c r="G83" s="52">
        <f>N65</f>
        <v>0.17368651344882244</v>
      </c>
      <c r="H83" s="52">
        <f>N73</f>
        <v>0.29533548458885051</v>
      </c>
      <c r="I83" s="22">
        <f>(B83*J13)+(C83*J14)+(D83*J15)+(E83*J16)+(F83*J17)+(G83*J18)+(H83*J19)</f>
        <v>0.21856699923025014</v>
      </c>
      <c r="L83" s="22">
        <f>(B83*J14)+(C83*J15)+(D83*J16)+(E83*J17)+(F83*J18)+(G83*J19)+(H83*J20)</f>
        <v>0.46153709782871055</v>
      </c>
      <c r="M83" s="67" t="s">
        <v>23</v>
      </c>
      <c r="O83" s="59" t="s">
        <v>44</v>
      </c>
      <c r="R83" s="2" t="s">
        <v>10</v>
      </c>
      <c r="S83" s="53">
        <f t="shared" si="13"/>
        <v>0.18150852319501595</v>
      </c>
    </row>
    <row r="84" spans="1:19" x14ac:dyDescent="0.3">
      <c r="A84" s="67" t="s">
        <v>24</v>
      </c>
      <c r="B84" s="52">
        <f>N26</f>
        <v>0.26187088274044795</v>
      </c>
      <c r="C84" s="52">
        <f>N34</f>
        <v>0.17914361001317522</v>
      </c>
      <c r="D84" s="52">
        <f>N42</f>
        <v>0.21090919566418659</v>
      </c>
      <c r="E84" s="52">
        <f>N50</f>
        <v>0.26196192696192694</v>
      </c>
      <c r="F84" s="52">
        <f>N58</f>
        <v>0.24082375478927204</v>
      </c>
      <c r="G84" s="52">
        <f>N66</f>
        <v>0.20522773208681527</v>
      </c>
      <c r="H84" s="52">
        <f>N74</f>
        <v>0.18428285300990319</v>
      </c>
      <c r="I84" s="22">
        <f>(B84*J13)+(C84*J14)+(D84*J15)+(E84*J16)+(F84*J17)+(G84*J18)+(H84*J19)</f>
        <v>0.22382861175715524</v>
      </c>
      <c r="L84" s="22">
        <f>(B84*J15)+(C84*J16)+(D84*J17)+(E84*J18)+(F84*J19)+(G84*J20)+(H84*J21)</f>
        <v>0.34378471067776695</v>
      </c>
      <c r="M84" s="67" t="s">
        <v>24</v>
      </c>
      <c r="O84" s="58">
        <f>MAX(L82:L86)</f>
        <v>0.46153709782871055</v>
      </c>
      <c r="R84" s="2" t="s">
        <v>11</v>
      </c>
      <c r="S84" s="53">
        <f t="shared" si="13"/>
        <v>0.16620240074603634</v>
      </c>
    </row>
    <row r="85" spans="1:19" x14ac:dyDescent="0.3">
      <c r="A85" s="67" t="s">
        <v>25</v>
      </c>
      <c r="B85" s="52">
        <f>N27</f>
        <v>0.14093544137022396</v>
      </c>
      <c r="C85" s="52">
        <f>N35</f>
        <v>0.17072463768115942</v>
      </c>
      <c r="D85" s="52">
        <f>N43</f>
        <v>0.17982993010216242</v>
      </c>
      <c r="E85" s="52">
        <f>N51</f>
        <v>0.12897047397047395</v>
      </c>
      <c r="F85" s="52">
        <f>N59</f>
        <v>0.13101532567049809</v>
      </c>
      <c r="G85" s="52">
        <f>N67</f>
        <v>0.12017659005774455</v>
      </c>
      <c r="H85" s="52">
        <f>N75</f>
        <v>0.11783910092355625</v>
      </c>
      <c r="I85" s="22">
        <f>(B85*J13)+(C85*J14)+(D85*J15)+(E85*J16)+(F85*J17)+(G85*J18)+(H85*J19)</f>
        <v>0.14611628101125634</v>
      </c>
      <c r="L85" s="22">
        <f>(B85*J16)+(C85*J17)+(D85*J18)+(E85*J19)+(F85*J20)+(G85*J21)+(H85*J22)</f>
        <v>0.19909373580324502</v>
      </c>
      <c r="M85" s="67" t="s">
        <v>25</v>
      </c>
      <c r="O85" s="60" t="str">
        <f>VLOOKUP(O84,L82:M86,2,0)</f>
        <v>2.KİŞİ</v>
      </c>
      <c r="R85" s="2" t="s">
        <v>12</v>
      </c>
      <c r="S85" s="53">
        <f t="shared" si="13"/>
        <v>0.12190146226181127</v>
      </c>
    </row>
    <row r="86" spans="1:19" x14ac:dyDescent="0.3">
      <c r="A86" s="67" t="s">
        <v>26</v>
      </c>
      <c r="B86" s="52">
        <f>N28</f>
        <v>0.10708827404479578</v>
      </c>
      <c r="C86" s="52">
        <f>N36</f>
        <v>9.8511198945981551E-2</v>
      </c>
      <c r="D86" s="52">
        <f>N44</f>
        <v>9.3294888213218519E-2</v>
      </c>
      <c r="E86" s="52">
        <f>N52</f>
        <v>0.13155788655788653</v>
      </c>
      <c r="F86" s="52">
        <f>N60</f>
        <v>0.10791187739463601</v>
      </c>
      <c r="G86" s="52">
        <f>N68</f>
        <v>0.11925042322325854</v>
      </c>
      <c r="H86" s="52">
        <f>N76</f>
        <v>0.11084344052520308</v>
      </c>
      <c r="I86" s="54">
        <f>(B86*J13)+(C86*J14)+(D86*J15)+(E86*J16)+(F86*J17)+(G86*J18)+(H86*J19)</f>
        <v>0.10795069023260349</v>
      </c>
      <c r="L86" s="22">
        <f>(B86*J17)+(C86*J18)+(D86*J19)+(E86*J20)+(F86*J21)+(G86*J22)+(H86*J23)</f>
        <v>0.16278956464547437</v>
      </c>
      <c r="M86" s="67" t="s">
        <v>26</v>
      </c>
      <c r="R86" s="2" t="s">
        <v>13</v>
      </c>
      <c r="S86" s="53">
        <f t="shared" si="13"/>
        <v>0.12633293958275518</v>
      </c>
    </row>
    <row r="87" spans="1:19" x14ac:dyDescent="0.3">
      <c r="R87" s="2" t="s">
        <v>14</v>
      </c>
      <c r="S87" s="53">
        <f t="shared" si="13"/>
        <v>0.11128938755794898</v>
      </c>
    </row>
    <row r="88" spans="1:19" x14ac:dyDescent="0.3">
      <c r="R88" s="1" t="s">
        <v>15</v>
      </c>
      <c r="S88" s="53">
        <f t="shared" si="13"/>
        <v>7.2240299157276047E-2</v>
      </c>
    </row>
    <row r="91" spans="1:19" ht="18" x14ac:dyDescent="0.3">
      <c r="A91" s="78" t="s">
        <v>36</v>
      </c>
      <c r="B91" s="78"/>
      <c r="C91" s="78"/>
      <c r="D91" s="78"/>
      <c r="E91" s="78"/>
      <c r="F91" s="78"/>
      <c r="G91" s="78"/>
      <c r="H91" s="78"/>
    </row>
    <row r="92" spans="1:19" x14ac:dyDescent="0.3">
      <c r="A92" s="4" t="s">
        <v>37</v>
      </c>
    </row>
    <row r="93" spans="1:19" ht="17.399999999999999" x14ac:dyDescent="0.3">
      <c r="A93" s="55" t="str">
        <f t="shared" ref="A93:H101" si="14">A2</f>
        <v>KRİTERLER</v>
      </c>
      <c r="B93" s="62" t="str">
        <f t="shared" si="14"/>
        <v>K1</v>
      </c>
      <c r="C93" s="62" t="str">
        <f t="shared" si="14"/>
        <v>K2</v>
      </c>
      <c r="D93" s="62" t="str">
        <f t="shared" si="14"/>
        <v>K3</v>
      </c>
      <c r="E93" s="62" t="str">
        <f t="shared" si="14"/>
        <v>K4</v>
      </c>
      <c r="F93" s="62" t="str">
        <f t="shared" si="14"/>
        <v>K5</v>
      </c>
      <c r="G93" s="62" t="str">
        <f t="shared" si="14"/>
        <v>K6</v>
      </c>
      <c r="H93" s="62" t="str">
        <f t="shared" si="14"/>
        <v>K7</v>
      </c>
      <c r="K93" s="4" t="s">
        <v>38</v>
      </c>
      <c r="M93" s="4" t="s">
        <v>39</v>
      </c>
      <c r="O93" s="4" t="s">
        <v>40</v>
      </c>
      <c r="R93" s="20">
        <f>SUM(O94:O100)</f>
        <v>23.274421090689987</v>
      </c>
    </row>
    <row r="94" spans="1:19" ht="17.399999999999999" x14ac:dyDescent="0.3">
      <c r="A94" s="62" t="str">
        <f t="shared" si="14"/>
        <v>(K1) Eğitim Düzeyi</v>
      </c>
      <c r="B94" s="55">
        <f t="shared" si="14"/>
        <v>1</v>
      </c>
      <c r="C94" s="63">
        <f t="shared" si="14"/>
        <v>1</v>
      </c>
      <c r="D94" s="63">
        <f t="shared" si="14"/>
        <v>2</v>
      </c>
      <c r="E94" s="63">
        <f t="shared" si="14"/>
        <v>3</v>
      </c>
      <c r="F94" s="63">
        <f t="shared" si="14"/>
        <v>1</v>
      </c>
      <c r="G94" s="63">
        <f t="shared" si="14"/>
        <v>2</v>
      </c>
      <c r="H94" s="63">
        <f t="shared" si="14"/>
        <v>3</v>
      </c>
      <c r="K94" s="53">
        <f t="shared" ref="K94:K100" si="15">J13</f>
        <v>0.22052498749915633</v>
      </c>
      <c r="M94" s="56">
        <f>(B94*K94)+(C94*K95)+(D94*K96)+(E94*K97)+(F94*K98)+(G94*K99)+(H94*K100)</f>
        <v>1.6657753111421603</v>
      </c>
      <c r="O94" s="56">
        <f>M94/K94</f>
        <v>7.5536805603425465</v>
      </c>
      <c r="R94" s="4" t="s">
        <v>42</v>
      </c>
    </row>
    <row r="95" spans="1:19" ht="17.399999999999999" x14ac:dyDescent="0.3">
      <c r="A95" s="62" t="str">
        <f t="shared" si="14"/>
        <v>(K2) İş Deneyimi</v>
      </c>
      <c r="B95" s="66">
        <f t="shared" si="14"/>
        <v>1</v>
      </c>
      <c r="C95" s="55">
        <f t="shared" si="14"/>
        <v>1</v>
      </c>
      <c r="D95" s="63">
        <f t="shared" si="14"/>
        <v>1</v>
      </c>
      <c r="E95" s="63">
        <f t="shared" si="14"/>
        <v>2</v>
      </c>
      <c r="F95" s="63">
        <f t="shared" si="14"/>
        <v>3</v>
      </c>
      <c r="G95" s="63">
        <f t="shared" si="14"/>
        <v>1</v>
      </c>
      <c r="H95" s="63">
        <f t="shared" si="14"/>
        <v>2</v>
      </c>
      <c r="K95" s="53">
        <f t="shared" si="15"/>
        <v>0.18150852319501595</v>
      </c>
      <c r="M95" s="56">
        <f>(B95*K95)+(C95*K96)+(D95*K97)+(E95*K98)+(F95*K99)+(G95*K100)+(H95*K101)</f>
        <v>1.128386727199497</v>
      </c>
      <c r="O95" s="56">
        <f t="shared" ref="O95:O100" si="16">M95/K95</f>
        <v>6.216714826042292</v>
      </c>
      <c r="R95" s="20">
        <f>R93/7</f>
        <v>3.3249172986699982</v>
      </c>
    </row>
    <row r="96" spans="1:19" ht="17.399999999999999" x14ac:dyDescent="0.3">
      <c r="A96" s="62" t="str">
        <f t="shared" si="14"/>
        <v>(K3) İletişim Becerileri</v>
      </c>
      <c r="B96" s="66">
        <f t="shared" si="14"/>
        <v>0.5</v>
      </c>
      <c r="C96" s="66">
        <f t="shared" si="14"/>
        <v>1</v>
      </c>
      <c r="D96" s="55">
        <f t="shared" si="14"/>
        <v>1</v>
      </c>
      <c r="E96" s="63">
        <f t="shared" si="14"/>
        <v>2</v>
      </c>
      <c r="F96" s="63">
        <f t="shared" si="14"/>
        <v>3</v>
      </c>
      <c r="G96" s="63">
        <f t="shared" si="14"/>
        <v>1</v>
      </c>
      <c r="H96" s="63">
        <f t="shared" si="14"/>
        <v>2</v>
      </c>
      <c r="K96" s="53">
        <f t="shared" si="15"/>
        <v>0.16620240074603634</v>
      </c>
      <c r="M96" s="56">
        <f>(B96*K96)+(C96*K97)+(D96*K98)+(E96*K99)+(F96*K100)+(G96*K101)+(H96*K102)</f>
        <v>0.77063527480531069</v>
      </c>
      <c r="O96" s="56">
        <f t="shared" si="16"/>
        <v>4.6367276967489239</v>
      </c>
    </row>
    <row r="97" spans="1:18" ht="17.399999999999999" x14ac:dyDescent="0.3">
      <c r="A97" s="62" t="str">
        <f t="shared" si="14"/>
        <v>(K4) Yetenek ve Bilgi</v>
      </c>
      <c r="B97" s="66">
        <f t="shared" si="14"/>
        <v>0.33333333333333331</v>
      </c>
      <c r="C97" s="66">
        <f t="shared" si="14"/>
        <v>0.5</v>
      </c>
      <c r="D97" s="66">
        <f t="shared" si="14"/>
        <v>0.5</v>
      </c>
      <c r="E97" s="55">
        <f t="shared" si="14"/>
        <v>1</v>
      </c>
      <c r="F97" s="63">
        <f t="shared" si="14"/>
        <v>3</v>
      </c>
      <c r="G97" s="63">
        <f t="shared" si="14"/>
        <v>1</v>
      </c>
      <c r="H97" s="63">
        <f t="shared" si="14"/>
        <v>2</v>
      </c>
      <c r="K97" s="53">
        <f t="shared" si="15"/>
        <v>0.12190146226181127</v>
      </c>
      <c r="M97" s="56">
        <f>(B97*K97)+(C97*K98)+(D97*K99)+(E97*K100)+(F97*K101)+(G97*K102)+(H97*K110)</f>
        <v>0.2316852834815652</v>
      </c>
      <c r="O97" s="56">
        <f t="shared" si="16"/>
        <v>1.9005947851877942</v>
      </c>
      <c r="R97" s="4" t="s">
        <v>41</v>
      </c>
    </row>
    <row r="98" spans="1:18" ht="17.399999999999999" x14ac:dyDescent="0.3">
      <c r="A98" s="62" t="str">
        <f t="shared" si="14"/>
        <v>(K5) Referanslar</v>
      </c>
      <c r="B98" s="66">
        <f t="shared" si="14"/>
        <v>1</v>
      </c>
      <c r="C98" s="66">
        <f t="shared" si="14"/>
        <v>0.33333333333333331</v>
      </c>
      <c r="D98" s="66">
        <f t="shared" si="14"/>
        <v>0.33333333333333331</v>
      </c>
      <c r="E98" s="66">
        <f t="shared" si="14"/>
        <v>0.33333333333333331</v>
      </c>
      <c r="F98" s="55">
        <f t="shared" si="14"/>
        <v>1</v>
      </c>
      <c r="G98" s="63">
        <f t="shared" si="14"/>
        <v>2</v>
      </c>
      <c r="H98" s="63">
        <f t="shared" si="14"/>
        <v>3</v>
      </c>
      <c r="K98" s="53">
        <f t="shared" si="15"/>
        <v>0.12633293958275518</v>
      </c>
      <c r="M98" s="56">
        <f>(B98*K98)+(C98*K99)+(D98*K100)+(E98*K101)+(F98*K102)+(G98*K110)+(H98*K111)</f>
        <v>0.18750950182116355</v>
      </c>
      <c r="O98" s="56">
        <f t="shared" si="16"/>
        <v>1.4842487037858743</v>
      </c>
      <c r="R98" s="3">
        <f>(R95-7)/6</f>
        <v>-0.6125137835550003</v>
      </c>
    </row>
    <row r="99" spans="1:18" ht="17.399999999999999" x14ac:dyDescent="0.3">
      <c r="A99" s="62" t="str">
        <f t="shared" si="14"/>
        <v>(K6) Ekip Çalışması</v>
      </c>
      <c r="B99" s="66">
        <f t="shared" si="14"/>
        <v>0.5</v>
      </c>
      <c r="C99" s="66">
        <f t="shared" si="14"/>
        <v>1</v>
      </c>
      <c r="D99" s="66">
        <f t="shared" si="14"/>
        <v>1</v>
      </c>
      <c r="E99" s="66">
        <f t="shared" si="14"/>
        <v>1</v>
      </c>
      <c r="F99" s="66">
        <f t="shared" si="14"/>
        <v>0.5</v>
      </c>
      <c r="G99" s="55">
        <f t="shared" si="14"/>
        <v>1</v>
      </c>
      <c r="H99" s="63">
        <f t="shared" si="14"/>
        <v>1</v>
      </c>
      <c r="K99" s="53">
        <f t="shared" si="15"/>
        <v>0.11128938755794898</v>
      </c>
      <c r="M99" s="56">
        <f>(B99*K99)+(C99*K100)+(D99*K101)+(E99*K102)+(F99*K110)+(G99*K111)+(H99*K112)</f>
        <v>0.12788499293625055</v>
      </c>
      <c r="O99" s="56">
        <f t="shared" si="16"/>
        <v>1.1491211852492238</v>
      </c>
    </row>
    <row r="100" spans="1:18" ht="17.399999999999999" x14ac:dyDescent="0.3">
      <c r="A100" s="62" t="str">
        <f t="shared" si="14"/>
        <v>(K7) Problem Çözme Ytn.</v>
      </c>
      <c r="B100" s="66">
        <f t="shared" si="14"/>
        <v>0.33333333333333331</v>
      </c>
      <c r="C100" s="66">
        <f t="shared" si="14"/>
        <v>0.5</v>
      </c>
      <c r="D100" s="66">
        <f t="shared" si="14"/>
        <v>0.5</v>
      </c>
      <c r="E100" s="66">
        <f t="shared" si="14"/>
        <v>0.5</v>
      </c>
      <c r="F100" s="66">
        <f t="shared" si="14"/>
        <v>0.33333333333333331</v>
      </c>
      <c r="G100" s="66">
        <f t="shared" si="14"/>
        <v>1</v>
      </c>
      <c r="H100" s="55">
        <f t="shared" si="14"/>
        <v>1</v>
      </c>
      <c r="K100" s="53">
        <f t="shared" si="15"/>
        <v>7.2240299157276047E-2</v>
      </c>
      <c r="M100" s="56">
        <f>(B100*K100)+(C100*K101)+(D100*K102)+(E100*K110)+(F100*K111)+(G100*K112)+(H100*K113)</f>
        <v>2.4080099719092016E-2</v>
      </c>
      <c r="O100" s="56">
        <f t="shared" si="16"/>
        <v>0.33333333333333331</v>
      </c>
      <c r="R100" s="4" t="s">
        <v>43</v>
      </c>
    </row>
    <row r="101" spans="1:18" ht="17.399999999999999" x14ac:dyDescent="0.3">
      <c r="A101" s="64" t="str">
        <f t="shared" si="14"/>
        <v>TOPLAM</v>
      </c>
      <c r="B101" s="65">
        <f t="shared" si="14"/>
        <v>4.666666666666667</v>
      </c>
      <c r="C101" s="65">
        <f t="shared" si="14"/>
        <v>5.3333333333333339</v>
      </c>
      <c r="D101" s="65">
        <f t="shared" si="14"/>
        <v>6.333333333333333</v>
      </c>
      <c r="E101" s="65">
        <f t="shared" si="14"/>
        <v>9.8333333333333339</v>
      </c>
      <c r="F101" s="65">
        <f t="shared" si="14"/>
        <v>11.833333333333334</v>
      </c>
      <c r="G101" s="65">
        <f t="shared" si="14"/>
        <v>9</v>
      </c>
      <c r="H101" s="65">
        <f t="shared" si="14"/>
        <v>14</v>
      </c>
      <c r="R101" s="57">
        <f>(R98/1.32)</f>
        <v>-0.46402559360227291</v>
      </c>
    </row>
    <row r="137" ht="14.55" customHeight="1" x14ac:dyDescent="0.3"/>
  </sheetData>
  <mergeCells count="58">
    <mergeCell ref="A91:H91"/>
    <mergeCell ref="H23:L23"/>
    <mergeCell ref="H31:L31"/>
    <mergeCell ref="H39:L39"/>
    <mergeCell ref="H47:L47"/>
    <mergeCell ref="H55:L55"/>
    <mergeCell ref="N23:O23"/>
    <mergeCell ref="N24:O24"/>
    <mergeCell ref="N25:O25"/>
    <mergeCell ref="N26:O26"/>
    <mergeCell ref="N27:O27"/>
    <mergeCell ref="N50:O50"/>
    <mergeCell ref="H71:L71"/>
    <mergeCell ref="N77:O77"/>
    <mergeCell ref="N28:O28"/>
    <mergeCell ref="N29:O29"/>
    <mergeCell ref="N32:O32"/>
    <mergeCell ref="N33:O33"/>
    <mergeCell ref="N34:O34"/>
    <mergeCell ref="N35:O35"/>
    <mergeCell ref="N36:O36"/>
    <mergeCell ref="N31:O31"/>
    <mergeCell ref="N39:O39"/>
    <mergeCell ref="N47:O47"/>
    <mergeCell ref="N37:O37"/>
    <mergeCell ref="H63:L63"/>
    <mergeCell ref="N76:O76"/>
    <mergeCell ref="N53:O53"/>
    <mergeCell ref="N72:O72"/>
    <mergeCell ref="N64:O64"/>
    <mergeCell ref="N65:O65"/>
    <mergeCell ref="N66:O66"/>
    <mergeCell ref="N67:O67"/>
    <mergeCell ref="N68:O68"/>
    <mergeCell ref="N69:O69"/>
    <mergeCell ref="N56:O56"/>
    <mergeCell ref="N57:O57"/>
    <mergeCell ref="N58:O58"/>
    <mergeCell ref="N59:O59"/>
    <mergeCell ref="N63:O63"/>
    <mergeCell ref="N71:O71"/>
    <mergeCell ref="N55:O55"/>
    <mergeCell ref="A22:F22"/>
    <mergeCell ref="N61:O61"/>
    <mergeCell ref="N73:O73"/>
    <mergeCell ref="N74:O74"/>
    <mergeCell ref="N75:O75"/>
    <mergeCell ref="N60:O60"/>
    <mergeCell ref="N40:O40"/>
    <mergeCell ref="N41:O41"/>
    <mergeCell ref="N42:O42"/>
    <mergeCell ref="N52:O52"/>
    <mergeCell ref="N43:O43"/>
    <mergeCell ref="N51:O51"/>
    <mergeCell ref="N44:O44"/>
    <mergeCell ref="N45:O45"/>
    <mergeCell ref="N48:O48"/>
    <mergeCell ref="N49:O4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CommandButton7">
          <controlPr defaultSize="0" autoLine="0" autoPict="0" r:id="rId5">
            <anchor moveWithCells="1">
              <from>
                <xdr:col>16</xdr:col>
                <xdr:colOff>7620</xdr:colOff>
                <xdr:row>72</xdr:row>
                <xdr:rowOff>15240</xdr:rowOff>
              </from>
              <to>
                <xdr:col>17</xdr:col>
                <xdr:colOff>891540</xdr:colOff>
                <xdr:row>73</xdr:row>
                <xdr:rowOff>137160</xdr:rowOff>
              </to>
            </anchor>
          </controlPr>
        </control>
      </mc:Choice>
      <mc:Fallback>
        <control shapeId="2056" r:id="rId4" name="CommandButton7"/>
      </mc:Fallback>
    </mc:AlternateContent>
    <mc:AlternateContent xmlns:mc="http://schemas.openxmlformats.org/markup-compatibility/2006">
      <mc:Choice Requires="x14">
        <control shapeId="2055" r:id="rId6" name="CommandButton6">
          <controlPr defaultSize="0" autoLine="0" autoPict="0" r:id="rId7">
            <anchor moveWithCells="1">
              <from>
                <xdr:col>15</xdr:col>
                <xdr:colOff>449580</xdr:colOff>
                <xdr:row>63</xdr:row>
                <xdr:rowOff>167640</xdr:rowOff>
              </from>
              <to>
                <xdr:col>17</xdr:col>
                <xdr:colOff>899160</xdr:colOff>
                <xdr:row>66</xdr:row>
                <xdr:rowOff>15240</xdr:rowOff>
              </to>
            </anchor>
          </controlPr>
        </control>
      </mc:Choice>
      <mc:Fallback>
        <control shapeId="2055" r:id="rId6" name="CommandButton6"/>
      </mc:Fallback>
    </mc:AlternateContent>
    <mc:AlternateContent xmlns:mc="http://schemas.openxmlformats.org/markup-compatibility/2006">
      <mc:Choice Requires="x14">
        <control shapeId="2054" r:id="rId8" name="CommandButton5">
          <controlPr defaultSize="0" autoLine="0" autoPict="0" r:id="rId9">
            <anchor moveWithCells="1">
              <from>
                <xdr:col>15</xdr:col>
                <xdr:colOff>472440</xdr:colOff>
                <xdr:row>55</xdr:row>
                <xdr:rowOff>182880</xdr:rowOff>
              </from>
              <to>
                <xdr:col>17</xdr:col>
                <xdr:colOff>914400</xdr:colOff>
                <xdr:row>58</xdr:row>
                <xdr:rowOff>22860</xdr:rowOff>
              </to>
            </anchor>
          </controlPr>
        </control>
      </mc:Choice>
      <mc:Fallback>
        <control shapeId="2054" r:id="rId8" name="CommandButton5"/>
      </mc:Fallback>
    </mc:AlternateContent>
    <mc:AlternateContent xmlns:mc="http://schemas.openxmlformats.org/markup-compatibility/2006">
      <mc:Choice Requires="x14">
        <control shapeId="2053" r:id="rId10" name="CommandButton4">
          <controlPr defaultSize="0" autoLine="0" r:id="rId11">
            <anchor moveWithCells="1">
              <from>
                <xdr:col>16</xdr:col>
                <xdr:colOff>7620</xdr:colOff>
                <xdr:row>49</xdr:row>
                <xdr:rowOff>0</xdr:rowOff>
              </from>
              <to>
                <xdr:col>17</xdr:col>
                <xdr:colOff>975360</xdr:colOff>
                <xdr:row>51</xdr:row>
                <xdr:rowOff>0</xdr:rowOff>
              </to>
            </anchor>
          </controlPr>
        </control>
      </mc:Choice>
      <mc:Fallback>
        <control shapeId="2053" r:id="rId10" name="CommandButton4"/>
      </mc:Fallback>
    </mc:AlternateContent>
    <mc:AlternateContent xmlns:mc="http://schemas.openxmlformats.org/markup-compatibility/2006">
      <mc:Choice Requires="x14">
        <control shapeId="2052" r:id="rId12" name="CommandButton3">
          <controlPr defaultSize="0" autoLine="0" autoPict="0" r:id="rId13">
            <anchor moveWithCells="1">
              <from>
                <xdr:col>15</xdr:col>
                <xdr:colOff>457200</xdr:colOff>
                <xdr:row>40</xdr:row>
                <xdr:rowOff>0</xdr:rowOff>
              </from>
              <to>
                <xdr:col>17</xdr:col>
                <xdr:colOff>899160</xdr:colOff>
                <xdr:row>41</xdr:row>
                <xdr:rowOff>175260</xdr:rowOff>
              </to>
            </anchor>
          </controlPr>
        </control>
      </mc:Choice>
      <mc:Fallback>
        <control shapeId="2052" r:id="rId12" name="CommandButton3"/>
      </mc:Fallback>
    </mc:AlternateContent>
    <mc:AlternateContent xmlns:mc="http://schemas.openxmlformats.org/markup-compatibility/2006">
      <mc:Choice Requires="x14">
        <control shapeId="2051" r:id="rId14" name="CommandButton2">
          <controlPr defaultSize="0" autoLine="0" r:id="rId15">
            <anchor moveWithCells="1">
              <from>
                <xdr:col>16</xdr:col>
                <xdr:colOff>0</xdr:colOff>
                <xdr:row>32</xdr:row>
                <xdr:rowOff>0</xdr:rowOff>
              </from>
              <to>
                <xdr:col>17</xdr:col>
                <xdr:colOff>899160</xdr:colOff>
                <xdr:row>34</xdr:row>
                <xdr:rowOff>0</xdr:rowOff>
              </to>
            </anchor>
          </controlPr>
        </control>
      </mc:Choice>
      <mc:Fallback>
        <control shapeId="2051" r:id="rId14" name="CommandButton2"/>
      </mc:Fallback>
    </mc:AlternateContent>
    <mc:AlternateContent xmlns:mc="http://schemas.openxmlformats.org/markup-compatibility/2006">
      <mc:Choice Requires="x14">
        <control shapeId="2049" r:id="rId16" name="button">
          <controlPr defaultSize="0" autoLine="0" r:id="rId17">
            <anchor moveWithCells="1">
              <from>
                <xdr:col>8</xdr:col>
                <xdr:colOff>213360</xdr:colOff>
                <xdr:row>4</xdr:row>
                <xdr:rowOff>175260</xdr:rowOff>
              </from>
              <to>
                <xdr:col>9</xdr:col>
                <xdr:colOff>259080</xdr:colOff>
                <xdr:row>6</xdr:row>
                <xdr:rowOff>99060</xdr:rowOff>
              </to>
            </anchor>
          </controlPr>
        </control>
      </mc:Choice>
      <mc:Fallback>
        <control shapeId="2049" r:id="rId16" name="button"/>
      </mc:Fallback>
    </mc:AlternateContent>
    <mc:AlternateContent xmlns:mc="http://schemas.openxmlformats.org/markup-compatibility/2006">
      <mc:Choice Requires="x14">
        <control shapeId="2050" r:id="rId18" name="CommandButton1">
          <controlPr defaultSize="0" autoLine="0" r:id="rId19">
            <anchor moveWithCells="1">
              <from>
                <xdr:col>16</xdr:col>
                <xdr:colOff>0</xdr:colOff>
                <xdr:row>25</xdr:row>
                <xdr:rowOff>7620</xdr:rowOff>
              </from>
              <to>
                <xdr:col>17</xdr:col>
                <xdr:colOff>899160</xdr:colOff>
                <xdr:row>27</xdr:row>
                <xdr:rowOff>0</xdr:rowOff>
              </to>
            </anchor>
          </controlPr>
        </control>
      </mc:Choice>
      <mc:Fallback>
        <control shapeId="2050" r:id="rId1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workbookViewId="0">
      <selection activeCell="N22" sqref="N22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Sayfa1</vt:lpstr>
      <vt:lpstr>Sayfa2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Lacin</dc:creator>
  <cp:keywords/>
  <dc:description/>
  <cp:lastModifiedBy>enes öztürk</cp:lastModifiedBy>
  <cp:revision/>
  <dcterms:created xsi:type="dcterms:W3CDTF">2023-12-22T17:58:32Z</dcterms:created>
  <dcterms:modified xsi:type="dcterms:W3CDTF">2024-01-01T22:13:01Z</dcterms:modified>
  <cp:category/>
  <cp:contentStatus/>
</cp:coreProperties>
</file>